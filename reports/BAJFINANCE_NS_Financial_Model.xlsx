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Income Statement" state="visible" r:id="rId5"/>
    <sheet sheetId="3" name="Balance Sheet" state="visible" r:id="rId6"/>
    <sheet sheetId="4" name="Cash Flow" state="visible" r:id="rId7"/>
    <sheet sheetId="5" name="Operating Drivers" state="visible" r:id="rId8"/>
    <sheet sheetId="6" name="Valuation" state="visible" r:id="rId9"/>
    <sheet sheetId="7" name="Peers" state="visible" r:id="rId10"/>
    <sheet sheetId="8" name="Scenarios &amp; Assumptions" state="visible" r:id="rId11"/>
    <sheet sheetId="9" name="Quarterly" state="visible" r:id="rId12"/>
    <sheet sheetId="10" name="Common Size" state="visible" r:id="rId13"/>
    <sheet sheetId="11" name="Schedules" state="visible" r:id="rId14"/>
    <sheet sheetId="12" name="Facts" state="visible" r:id="rId15"/>
    <sheet sheetId="13" name="Change Log" state="visible" r:id="rId16"/>
    <sheet sheetId="14" name="Source Audit" state="visible" r:id="rId17"/>
    <sheet sheetId="15" name="Chart Data" state="visible" r:id="rId18"/>
  </sheets>
  <definedNames>
    <definedName name="FairValuePerShare">Valuation!$B$6</definedName>
    <definedName name="CurrentPrice">Valuation!$B$7</definedName>
    <definedName name="UpsidePct">Valuation!$B$8</definedName>
    <definedName name="SnapshotId">Summary!$B$39</definedName>
    <definedName name="SnapshotHash">Summary!$B$40</definedName>
    <definedName name="Years_Header">'Income Statement'!$B$4:$I$4</definedName>
    <definedName name="Revenue_Series">'Income Statement'!$B$5:$I$5</definedName>
    <definedName name="EBITDA_Series">'Income Statement'!$B$10:$I$10</definedName>
    <definedName name="NetIncome_Series">'Income Statement'!$B$20:$I$20</definedName>
    <definedName name="EPS_Series">'Income Statement'!$B$25:$I$25</definedName>
    <definedName name="CFO_Series">'Cash Flow'!$B$13:$I$13</definedName>
    <definedName name="Capex_Series">'Cash Flow'!$B$15:$I$15</definedName>
  </definedNames>
  <calcPr calcId="171027" fullCalcOnLoad="1"/>
</workbook>
</file>

<file path=xl/sharedStrings.xml><?xml version="1.0" encoding="utf-8"?>
<sst xmlns="http://schemas.openxmlformats.org/spreadsheetml/2006/main" count="2301" uniqueCount="623">
  <si>
    <t>Bajaj Finance Limited (BAJFINANCE.NS)</t>
  </si>
  <si>
    <t>Non-Banking Financial Company (NBFC) . NSE . base period FY26 . ₹ Crores unless stated</t>
  </si>
  <si>
    <t>VALUATION AND DECISION</t>
  </si>
  <si>
    <t>Current price (INR)</t>
  </si>
  <si>
    <t>Fair value per share (INR)</t>
  </si>
  <si>
    <t>Model valuation spread vs price (an unaudited model output, not a rating; not independently audited)</t>
  </si>
  <si>
    <t>Primary method</t>
  </si>
  <si>
    <t>RESIDUAL_INCOME_PB - Multi-Stage Residual Income (100%)</t>
  </si>
  <si>
    <t>Confidence</t>
  </si>
  <si>
    <t>HIGH</t>
  </si>
  <si>
    <t>Status</t>
  </si>
  <si>
    <t>Non-Banking Financial Company (NBFC) valued via RESIDUAL_INCOME_PB. 54/54 accounting invariants passed; reasonableness assessment ECONOMICALLY_SOUND.</t>
  </si>
  <si>
    <t>KEY FINANCIALS (₹ Crores)</t>
  </si>
  <si>
    <t>Source sheet</t>
  </si>
  <si>
    <t>FY24A</t>
  </si>
  <si>
    <t>FY25A</t>
  </si>
  <si>
    <t>FY26A</t>
  </si>
  <si>
    <t>FY27E</t>
  </si>
  <si>
    <t>FY28E</t>
  </si>
  <si>
    <t>FY29E</t>
  </si>
  <si>
    <t>FY30E</t>
  </si>
  <si>
    <t>FY31E</t>
  </si>
  <si>
    <t>Revenue from operations</t>
  </si>
  <si>
    <t>Income Statement</t>
  </si>
  <si>
    <t>n/a</t>
  </si>
  <si>
    <t>EBITDA</t>
  </si>
  <si>
    <t>EBITDA margin</t>
  </si>
  <si>
    <t>Net income</t>
  </si>
  <si>
    <t>Diluted EPS (INR)</t>
  </si>
  <si>
    <t>Free cash flow (CFO - CapEx)</t>
  </si>
  <si>
    <t>Cash Flow</t>
  </si>
  <si>
    <t>Return on equity</t>
  </si>
  <si>
    <t>engine ratio</t>
  </si>
  <si>
    <t>RELATIVE POSITION (subject vs peer median; detail on the Peers sheet)</t>
  </si>
  <si>
    <t>Metric</t>
  </si>
  <si>
    <t>Subject</t>
  </si>
  <si>
    <t>Peer median</t>
  </si>
  <si>
    <t>Peers (n)</t>
  </si>
  <si>
    <t>P/E</t>
  </si>
  <si>
    <t>P/B</t>
  </si>
  <si>
    <t>ROE</t>
  </si>
  <si>
    <t>RISKS AND INVALIDATORS</t>
  </si>
  <si>
    <t>- Withheld: Historical EPS (share basis)</t>
  </si>
  <si>
    <t>- Withheld: DCF cross-check</t>
  </si>
  <si>
    <t>- Withheld: Segment analysis</t>
  </si>
  <si>
    <t>- Withheld: Line-by-line statutory statements</t>
  </si>
  <si>
    <t>Every figure on this sheet links to its source sheet; nothing is calculated here. Formulas appear only where they reproduce the engine's own figure.</t>
  </si>
  <si>
    <t>Research only; not investment advice. A withheld, low-confidence or experimental output says so rather than offering a number.</t>
  </si>
  <si>
    <t>EXPORT SNAPSHOT (one immutable analysis behind every export of this model)</t>
  </si>
  <si>
    <t>Snapshot ID</t>
  </si>
  <si>
    <t>snap_BAJFINANCE_NS_14a597949db9</t>
  </si>
  <si>
    <t>Snapshot SHA-256</t>
  </si>
  <si>
    <t>14a597949db9912c1fbde077b91e080580c0a1d505ad2f73993429b3fce0ad91</t>
  </si>
  <si>
    <t>Built at</t>
  </si>
  <si>
    <t>2026-11-01T15:05:35.584Z</t>
  </si>
  <si>
    <t>Analysis status</t>
  </si>
  <si>
    <t>SUCCESS</t>
  </si>
  <si>
    <t>Price</t>
  </si>
  <si>
    <t>INR 939.1</t>
  </si>
  <si>
    <t>Price as of</t>
  </si>
  <si>
    <t>2026-10-30T00:00:00.000Z</t>
  </si>
  <si>
    <t>Price stale</t>
  </si>
  <si>
    <t>false</t>
  </si>
  <si>
    <t>Price source</t>
  </si>
  <si>
    <t>NSE official close (UDiFF bhavcopy) + Screener.in structured dataset</t>
  </si>
  <si>
    <t>Assumptions SHA-256</t>
  </si>
  <si>
    <t>74234e98afe7498fb5daf1f36ac2d78acc339464f950703b8c019892f982b90b</t>
  </si>
  <si>
    <t>Engine git commit</t>
  </si>
  <si>
    <t>b7b86361d20c284ad0ff81aeacf46cd8392fc168+uncommitted</t>
  </si>
  <si>
    <t>Valuation engine version</t>
  </si>
  <si>
    <t>2.0.0</t>
  </si>
  <si>
    <t>Monte Carlo</t>
  </si>
  <si>
    <t>UNAVAILABLE</t>
  </si>
  <si>
    <t>RESIDUAL_INCOME_PB</t>
  </si>
  <si>
    <t>Valuation status</t>
  </si>
  <si>
    <t>VALID</t>
  </si>
  <si>
    <t>Fair value per share</t>
  </si>
  <si>
    <t>364.92</t>
  </si>
  <si>
    <t>Model valuation spread vs price (an unaudited model output, not a rating; not independently audited) %</t>
  </si>
  <si>
    <t>-61.14</t>
  </si>
  <si>
    <t>v1 formula-trace coverage % (a different measure from "figures that reconcile" in the run-status table)</t>
  </si>
  <si>
    <t>0</t>
  </si>
  <si>
    <t>Audit status / test status</t>
  </si>
  <si>
    <t>FLAGGED / NOT_EVALUATED</t>
  </si>
  <si>
    <t>Source documents</t>
  </si>
  <si>
    <t>https://nsearchives.nseindia.com/corporate/xbrl/INTEGRATED_FILING_NBFC_INDAS_1428677_30042025123348_WEB.xml | https://nsearchives.nseindia.com/corporate/xbrl/INTEGRATED_FILING_NBFC_INDAS_1661603_29042026104724_WEB.xml | https://nsearchives.nseindia.com/corporate/xbrl/NBFC_INDAS_104721_1108498_25042024091449.xml</t>
  </si>
  <si>
    <t>Income Statement (₹ Crores)</t>
  </si>
  <si>
    <t>Bajaj Finance Limited (BAJFINANCE.NS) . Consolidated . base period FY26 . LENDER/INSURER: generic operating layout, total income shown as revenue, lines do not foot; see Lender Statements</t>
  </si>
  <si>
    <t>A = reported . E = forecast . "n/a" = the source does not carry the line (never zero)</t>
  </si>
  <si>
    <t xml:space="preserve">  growth (%)</t>
  </si>
  <si>
    <t xml:space="preserve">  Employee benefit expenses</t>
  </si>
  <si>
    <t xml:space="preserve">  Other operating expenses</t>
  </si>
  <si>
    <t>Total operating expenses</t>
  </si>
  <si>
    <t>EBITDA (operating profit before D&amp;A)</t>
  </si>
  <si>
    <t xml:space="preserve">  EBITDA margin (%)</t>
  </si>
  <si>
    <t xml:space="preserve">  Depreciation &amp; amortisation</t>
  </si>
  <si>
    <t>EBIT (operating profit)</t>
  </si>
  <si>
    <t xml:space="preserve">  EBIT margin (%)</t>
  </si>
  <si>
    <t xml:space="preserve">  Other non-operating income</t>
  </si>
  <si>
    <t xml:space="preserve">  Finance costs</t>
  </si>
  <si>
    <t xml:space="preserve">  Exceptional items (before tax; charge negative)</t>
  </si>
  <si>
    <t>Profit before tax</t>
  </si>
  <si>
    <t xml:space="preserve">  Tax expense</t>
  </si>
  <si>
    <t>Net income / profit after tax</t>
  </si>
  <si>
    <t xml:space="preserve">  net margin (%)</t>
  </si>
  <si>
    <t xml:space="preserve">  Minority interest</t>
  </si>
  <si>
    <t>Profit attributable to shareholders</t>
  </si>
  <si>
    <t xml:space="preserve">  Diluted shares (crore)</t>
  </si>
  <si>
    <t>Balance Sheet (₹ Crores)</t>
  </si>
  <si>
    <t>Bajaj Finance Limited (BAJFINANCE.NS) . Consolidated . base period FY26</t>
  </si>
  <si>
    <t>CURRENT ASSETS</t>
  </si>
  <si>
    <t xml:space="preserve">  Cash and cash equivalents</t>
  </si>
  <si>
    <t xml:space="preserve">  Short-term investments</t>
  </si>
  <si>
    <t xml:space="preserve">  Trade receivables</t>
  </si>
  <si>
    <t xml:space="preserve">  Inventories</t>
  </si>
  <si>
    <t xml:space="preserve">  Other current assets</t>
  </si>
  <si>
    <t>Total current assets</t>
  </si>
  <si>
    <t>NON-CURRENT ASSETS</t>
  </si>
  <si>
    <t xml:space="preserve">  Property, plant &amp; equipment (net)</t>
  </si>
  <si>
    <t xml:space="preserve">  Intangibles &amp; goodwill</t>
  </si>
  <si>
    <t xml:space="preserve">  Non-current investments</t>
  </si>
  <si>
    <t xml:space="preserve">  Other non-current assets</t>
  </si>
  <si>
    <t>Total non-current assets</t>
  </si>
  <si>
    <t>TOTAL ASSETS</t>
  </si>
  <si>
    <t>CURRENT LIABILITIES</t>
  </si>
  <si>
    <t xml:space="preserve">  Trade payables</t>
  </si>
  <si>
    <t xml:space="preserve">  Short-term borrowings</t>
  </si>
  <si>
    <t xml:space="preserve">  Other current liabilities</t>
  </si>
  <si>
    <t>Total current liabilities</t>
  </si>
  <si>
    <t>NON-CURRENT LIABILITIES</t>
  </si>
  <si>
    <t xml:space="preserve">  Long-term debt</t>
  </si>
  <si>
    <t xml:space="preserve">  Lease liabilities</t>
  </si>
  <si>
    <t xml:space="preserve">  Deferred tax liabilities</t>
  </si>
  <si>
    <t xml:space="preserve">  Other non-current liabilities</t>
  </si>
  <si>
    <t>Total non-current liabilities</t>
  </si>
  <si>
    <t>TOTAL LIABILITIES</t>
  </si>
  <si>
    <t>EQUITY</t>
  </si>
  <si>
    <t xml:space="preserve">  Share capital</t>
  </si>
  <si>
    <t xml:space="preserve">  Reserves &amp; surplus</t>
  </si>
  <si>
    <t xml:space="preserve">  Other equity</t>
  </si>
  <si>
    <t xml:space="preserve">  Non-controlling interests</t>
  </si>
  <si>
    <t>TOTAL EQUITY</t>
  </si>
  <si>
    <t>TOTAL LIABILITIES AND EQUITY</t>
  </si>
  <si>
    <t>Balance check (assets - liabilities - equity)</t>
  </si>
  <si>
    <t>Cash Flow (₹ Crores)</t>
  </si>
  <si>
    <t>OPERATING ACTIVITIES</t>
  </si>
  <si>
    <t xml:space="preserve">  Net income</t>
  </si>
  <si>
    <t xml:space="preserve">  Other non-cash adjustments</t>
  </si>
  <si>
    <t xml:space="preserve">  Change in trade receivables</t>
  </si>
  <si>
    <t xml:space="preserve">  Change in inventories</t>
  </si>
  <si>
    <t xml:space="preserve">  Change in trade payables</t>
  </si>
  <si>
    <t xml:space="preserve">  Change in other working capital</t>
  </si>
  <si>
    <t>Cash from operations (CFO)</t>
  </si>
  <si>
    <t>INVESTING ACTIVITIES</t>
  </si>
  <si>
    <t xml:space="preserve">  Capital expenditure</t>
  </si>
  <si>
    <t xml:space="preserve">  Net purchase / sale of investments</t>
  </si>
  <si>
    <t xml:space="preserve">  Other investing activities</t>
  </si>
  <si>
    <t>Cash from investing (CFI)</t>
  </si>
  <si>
    <t>FINANCING ACTIVITIES</t>
  </si>
  <si>
    <t xml:space="preserve">  Debt issued / (repaid)</t>
  </si>
  <si>
    <t xml:space="preserve">  Dividends paid</t>
  </si>
  <si>
    <t xml:space="preserve">  Share issuance / (repurchase)</t>
  </si>
  <si>
    <t xml:space="preserve">  Lease payments &amp; other financing</t>
  </si>
  <si>
    <t>Cash from financing (CFF)</t>
  </si>
  <si>
    <t>Net change in cash</t>
  </si>
  <si>
    <t xml:space="preserve">  Opening cash</t>
  </si>
  <si>
    <t>Closing cash</t>
  </si>
  <si>
    <t>FREE CASH FLOW (CFO - CapEx; CapEx a positive outflow; INR crore)</t>
  </si>
  <si>
    <t>Free cash flow (FCF)</t>
  </si>
  <si>
    <t xml:space="preserve">  FCF margin (FCF / revenue)</t>
  </si>
  <si>
    <t xml:space="preserve">  FCF conversion (FCF / net income)</t>
  </si>
  <si>
    <t>Not applicable as a valuation input for a regulated financial: its operating cash flow includes deposit and loan flows.</t>
  </si>
  <si>
    <t>Operating Drivers</t>
  </si>
  <si>
    <t>The economic drivers the forecast is built from: what history shows, what the model assumes, and why. To change a driver, use the Model Builder in the application: it rebuilds the model and re-exports (a rebuilt state is labelled).</t>
  </si>
  <si>
    <t>Driver</t>
  </si>
  <si>
    <t>Unit</t>
  </si>
  <si>
    <t>History (reported / derived)</t>
  </si>
  <si>
    <t>FY27E (model)</t>
  </si>
  <si>
    <t>FY28E (model)</t>
  </si>
  <si>
    <t>FY29E (model)</t>
  </si>
  <si>
    <t>FY30E (model)</t>
  </si>
  <si>
    <t>FY31E (model)</t>
  </si>
  <si>
    <t>Tag</t>
  </si>
  <si>
    <t>Why this value</t>
  </si>
  <si>
    <t>AUM growth</t>
  </si>
  <si>
    <t>% per year</t>
  </si>
  <si>
    <t>policy (no history series)</t>
  </si>
  <si>
    <t>DERIVED</t>
  </si>
  <si>
    <t>MEDIUM</t>
  </si>
  <si>
    <t>History-derived value; no override applied.</t>
  </si>
  <si>
    <t>Lending yield</t>
  </si>
  <si>
    <t>% of average AUM</t>
  </si>
  <si>
    <t>Borrowing cost</t>
  </si>
  <si>
    <t>% of average borrowings</t>
  </si>
  <si>
    <t>Operating cost</t>
  </si>
  <si>
    <t>Credit cost</t>
  </si>
  <si>
    <t>bps of average AUM</t>
  </si>
  <si>
    <t>Fee income</t>
  </si>
  <si>
    <t>Dividend payout</t>
  </si>
  <si>
    <t>ratio of profit</t>
  </si>
  <si>
    <t>Effective tax rate</t>
  </si>
  <si>
    <t>% of PBT</t>
  </si>
  <si>
    <t>Revenue driver (provenance of the topline)</t>
  </si>
  <si>
    <t>Basis</t>
  </si>
  <si>
    <t>NOT_APPLICABLE: no sector volume x price driver; revenue grows on own reported history</t>
  </si>
  <si>
    <t>Provenance</t>
  </si>
  <si>
    <t>AUM x spread; AUM growth is the modelled driver</t>
  </si>
  <si>
    <t>Valuation</t>
  </si>
  <si>
    <t>One primary method, routed by the company's economics; the rest are cross-checks and are never averaged into it. A withheld valuation states why and publishes no value.</t>
  </si>
  <si>
    <t>PRIMARY VALUATION</t>
  </si>
  <si>
    <t>Method</t>
  </si>
  <si>
    <t>Confidence of the primary method as stated by the model (HIGH).</t>
  </si>
  <si>
    <t>Price basis</t>
  </si>
  <si>
    <t>NSE official close of 2026-10-30</t>
  </si>
  <si>
    <t>METHOD RANGES (INR per share) -- cross-checks beside the primary method</t>
  </si>
  <si>
    <t>Low</t>
  </si>
  <si>
    <t>Base</t>
  </si>
  <si>
    <t>High</t>
  </si>
  <si>
    <t>Weight %</t>
  </si>
  <si>
    <t>Role</t>
  </si>
  <si>
    <t>Multi-Stage Residual Income (13.83% Ke, 5.0% g)</t>
  </si>
  <si>
    <t>PRIMARY</t>
  </si>
  <si>
    <t>Fundamental Justified P/B (20.6% stable ROE -&gt; 1.76x P/B)</t>
  </si>
  <si>
    <t>cross-check</t>
  </si>
  <si>
    <t>Dividend Discount Model (13% forecast payout, 76% sustainable terminal payout)</t>
  </si>
  <si>
    <t>MARKET CROSS-CHECKS</t>
  </si>
  <si>
    <t>Trading comparables (implied price)</t>
  </si>
  <si>
    <t>consolidated trading comps are not the method for this archetype (RESIDUAL_INCOME_PB); segment peers are shown inside the SOTP</t>
  </si>
  <si>
    <t>Reverse valuation (what the price implies)</t>
  </si>
  <si>
    <t>AVAILABLE</t>
  </si>
  <si>
    <t>At 939.10 the market pays +157.3% against the model's 364.92. Cost of equity at which the forecast is worth the market price: 8.9792% (published 13.83%); Multiple of the forecast profit path the market price requires: 2.3455x (published 1x); Terminal growth at which the forecast is worth the market price: 11.9927% (published 5%). This describes market EXPECTATIONS, not fair value.</t>
  </si>
  <si>
    <t>NOT MEASURED -- stated, bounded where a bound exists, never filled</t>
  </si>
  <si>
    <t>Item</t>
  </si>
  <si>
    <t>Direction</t>
  </si>
  <si>
    <t>Bound (INR/share)</t>
  </si>
  <si>
    <t>Why</t>
  </si>
  <si>
    <t>Historical EPS (share basis)</t>
  </si>
  <si>
    <t>withheld</t>
  </si>
  <si>
    <t>the statement share count (61.8 Cr) is 10.06x away from the valuation's 622 Cr, so FY24, FY25, FY26 EPS is withheld rather than shown on a basis the per-share fair value does not use. Confirm the dated split / bonus from the exchange record, then restate onto one basis.</t>
  </si>
  <si>
    <t>DCF cross-check</t>
  </si>
  <si>
    <t>Not eligible by methodology: valuation methodology routes this archetype (NBFC) to RESIDUAL_INCOME_PB and prohibits the consolidated FCFF DCF . It is not forced to populate a sheet, and no DCF reading is published.</t>
  </si>
  <si>
    <t>Segment analysis</t>
  </si>
  <si>
    <t>no Ind AS 108 segment disclosure was read for this issuer and the provider published no split</t>
  </si>
  <si>
    <t>Line-by-line statutory statements</t>
  </si>
  <si>
    <t>no audited statutory XBRL filing was served for this issuer; the statements are not laid out line by line</t>
  </si>
  <si>
    <t>Peers</t>
  </si>
  <si>
    <t>One peer payload, one statistic definition: the median is the headline; quartiles and the sample size sit beside it. Outliers (Tukey fences, 5+ peers) are shown struck from the statistics and listed. Statistics are live formulas over the peer cells.</t>
  </si>
  <si>
    <t>Whole-company comparable set . 5 peer(s) . analyst-defined NBFC universe, subject excluded</t>
  </si>
  <si>
    <t>Listed Indian non-bank lenders: borrowed-funds balance sheets valued on book value and return on equity; a bank is not in the set because deposits and regulation differ.</t>
  </si>
  <si>
    <t>Basis: P/E and P/B for the subject and every peer are the provider's own figures, not recomputed from the model's FY26 EPS and BVPS, so the subject can differ from price / FY26 EPS (provider EPS and book-value dates are not stated by the provider).</t>
  </si>
  <si>
    <t>Company</t>
  </si>
  <si>
    <t>Comparability</t>
  </si>
  <si>
    <t>Div. yield %</t>
  </si>
  <si>
    <t>ROE %</t>
  </si>
  <si>
    <t>BAJFINANCE.NS (subject)</t>
  </si>
  <si>
    <t>subject</t>
  </si>
  <si>
    <t>CHOLAFIN.NS</t>
  </si>
  <si>
    <t>HIGH (4/4)</t>
  </si>
  <si>
    <t>3.92 (outlier, excluded)</t>
  </si>
  <si>
    <t>LICHSGFIN.NS</t>
  </si>
  <si>
    <t>MEDIUM (3/4)</t>
  </si>
  <si>
    <t>M&amp;MFIN.NS</t>
  </si>
  <si>
    <t>MUTHOOTFIN.NS</t>
  </si>
  <si>
    <t>24.15 (outlier, excluded)</t>
  </si>
  <si>
    <t>SHRIRAMFIN.NS</t>
  </si>
  <si>
    <t>25th percentile</t>
  </si>
  <si>
    <t>75th percentile</t>
  </si>
  <si>
    <t>Mean</t>
  </si>
  <si>
    <t>Peers used (n)</t>
  </si>
  <si>
    <t>Sample state</t>
  </si>
  <si>
    <t>LOW SAMPLE</t>
  </si>
  <si>
    <t>Subject vs median (%)</t>
  </si>
  <si>
    <t>Not applicable here: EV/EBITDA, EV/EBIT, EV/Sales, FCF yield, FCFE yield, ROIC, EBITDA margin, FCF margin, CFO / EBITDA, Cash conversion (FCF / PAT), EBITDA growth (latest FY), FCF growth (latest FY), FCF CAGR (3y), Net debt / EBITDA, Debt / equity, Interest coverage (regulated financial: EV/EBITDA is not defined for it).</t>
  </si>
  <si>
    <t>Measured vs median: P/E +17.5x . P/B +3.2x . Dividend yield -0.7pp . ROE +4.1pp . ROA +1.2pp . Revenue growth (latest FY) +7.5pp . EPS growth (latest FY) +1.2pp</t>
  </si>
  <si>
    <t>mean / median / p25 / p75 use linear-interpolation quantiles (spreadsheet QUARTILE.INC / MEDIAN); non-finite values are dropped, never zeroed; a duplicated peer counts once. Tukey fences (Q1 - 1.5 x IQR, Q3 + 1.5 x IQR) applied only with 5 or more values; outliers are excluded from the statistics and listed.</t>
  </si>
  <si>
    <t>FCF = CFO - CapEx (latest annual fiscal year, INR crore, CapEx a positive outflow); FCF margin = FCF / revenue; FCF conversion = FCF / net profit; FCF yield = FCF / market cap; FCFE = FCF + net borrowing (needs both borrowing balances); FCF CAGR over 3 fiscal years needs both endpoints &gt; 0. Regulated financials carry no corporate FCF.</t>
  </si>
  <si>
    <t>Scenarios &amp; Assumptions</t>
  </si>
  <si>
    <t>What would change the answer: scenarios, the discount-rate / growth grid, what the price implies, and the assumptions and limits behind it.</t>
  </si>
  <si>
    <t>ASSUMPTIONS APPLIED</t>
  </si>
  <si>
    <t>Base case: no user override. Every driver is the history-derived recommendation or a disclosed model policy.</t>
  </si>
  <si>
    <t>WACC (%)</t>
  </si>
  <si>
    <t>Risk-free rate (%)</t>
  </si>
  <si>
    <t>Beta</t>
  </si>
  <si>
    <t>Equity risk premium (%)</t>
  </si>
  <si>
    <t>Cost of equity (%)</t>
  </si>
  <si>
    <t>After-tax cost of debt (%)</t>
  </si>
  <si>
    <t>Terminal growth (%)</t>
  </si>
  <si>
    <t>Discount rate used by the primary method. Risk-free source: Reserve Bank of India 10-Yr G-Sec Benchmark Yield (7.10 GS 2034) (dated reference snapshot as of 2026-08-28) (REFERENCE_SNAPSHOT).</t>
  </si>
  <si>
    <t>MANAGEMENT GUIDANCE</t>
  </si>
  <si>
    <t>No verified guidance: FMB's guidance registry holds no sourced item for this company. Nothing is assumed or filled in.</t>
  </si>
  <si>
    <t>LIMITS AND SOURCE NOTES</t>
  </si>
  <si>
    <t>Statements: Consolidated annual figures; INR crore; fiscal year ending March. Period-length differences are normalised once and disclosed.</t>
  </si>
  <si>
    <t>Price: NSE official close of 2026-10-30.</t>
  </si>
  <si>
    <t>Peer statistics are computed from the same provider extractor for the subject and every peer; see the Peers sheet for the statistic definition.</t>
  </si>
  <si>
    <t>Withheld: Historical EPS (share basis) -- the statement share count (61.8 Cr) is 10.06x away from the valuation's 622 Cr, so FY24, FY25, FY26 EPS is withheld rather than shown on a basis the per-share fair value does not use. Confirm the dated split / bonus from the exchange record, then restate onto one basis.</t>
  </si>
  <si>
    <t>Withheld: DCF cross-check -- Not eligible by methodology: valuation methodology routes this archetype (NBFC) to RESIDUAL_INCOME_PB and prohibits the consolidated FCFF DCF . It is not forced to populate a sheet, and no DCF reading is published.</t>
  </si>
  <si>
    <t>Withheld: Segment analysis -- no Ind AS 108 segment disclosure was read for this issuer and the provider published no split</t>
  </si>
  <si>
    <t>Withheld: Line-by-line statutory statements -- no audited statutory XBRL filing was served for this issuer; the statements are not laid out line by line</t>
  </si>
  <si>
    <t>DATA LEGEND</t>
  </si>
  <si>
    <t>REPORTED</t>
  </si>
  <si>
    <t>Read from an audited filing or a statutory disclosure, unchanged.</t>
  </si>
  <si>
    <t>Computed from reported figures by a stated formula. Not itself reported.</t>
  </si>
  <si>
    <t>FORECAST</t>
  </si>
  <si>
    <t>The model's projection for a future period. No reported figure exists.</t>
  </si>
  <si>
    <t>USER INPUT</t>
  </si>
  <si>
    <t>An analyst override of the model’s assumption for this run.</t>
  </si>
  <si>
    <t>STALE</t>
  </si>
  <si>
    <t>A real observation that is no longer current. Not the same as unavailable.</t>
  </si>
  <si>
    <t>The evidence does not exist, or could not be obtained. Nothing is substituted.</t>
  </si>
  <si>
    <t>N/A</t>
  </si>
  <si>
    <t>The concept does not apply to this issuer or archetype. There is no number to miss.</t>
  </si>
  <si>
    <t>Quarterly statements (INR crore, as filed)</t>
  </si>
  <si>
    <t>Read from each quarter's own filed XBRL (the three-month column; the year-to-date column is never used as a quarter). Unaudited except the March quarter.</t>
  </si>
  <si>
    <t>UNAVAILABLE: NSE quarterly listing unreachable: RIGHTS_BLOCKED: NSE session-cookie API is paused by the owner pending legal review (nseSessionCookie); set ASTRA_ALLOW_NSE_SESSION_API=1 only after that review. No quarterly figure is estimated or interpolated.</t>
  </si>
  <si>
    <t>Common-size statements, ratios, DuPont and forensic screens</t>
  </si>
  <si>
    <t>Common-size lines are live formulas over the statement sheets (line / revenue, line / total assets). Ratios, DuPont and the scores are the engine's published figures.</t>
  </si>
  <si>
    <t>INCOME STATEMENT AS % OF REVENUE (reported and forecast)</t>
  </si>
  <si>
    <t>% of revenue</t>
  </si>
  <si>
    <t>Revenue</t>
  </si>
  <si>
    <t>Employee benefit expenses</t>
  </si>
  <si>
    <t>Other operating expenses</t>
  </si>
  <si>
    <t>Depreciation &amp; amortisation</t>
  </si>
  <si>
    <t>EBIT</t>
  </si>
  <si>
    <t>Other income</t>
  </si>
  <si>
    <t>Finance costs</t>
  </si>
  <si>
    <t>Tax</t>
  </si>
  <si>
    <t>BALANCE SHEET AS % OF TOTAL ASSETS</t>
  </si>
  <si>
    <t>% of total assets</t>
  </si>
  <si>
    <t>Cash</t>
  </si>
  <si>
    <t>Trade receivables</t>
  </si>
  <si>
    <t>Inventories</t>
  </si>
  <si>
    <t>Current assets</t>
  </si>
  <si>
    <t>PPE (net)</t>
  </si>
  <si>
    <t>Intangibles &amp; goodwill</t>
  </si>
  <si>
    <t>Non-current investments</t>
  </si>
  <si>
    <t>Total assets</t>
  </si>
  <si>
    <t>Trade payables</t>
  </si>
  <si>
    <t>Short-term borrowings</t>
  </si>
  <si>
    <t>Long-term debt</t>
  </si>
  <si>
    <t>Total liabilities</t>
  </si>
  <si>
    <t>Total equity</t>
  </si>
  <si>
    <t>RETURNS AND DUPONT (reported years; engine ratios)</t>
  </si>
  <si>
    <t>FY27EA</t>
  </si>
  <si>
    <t>FY28EA</t>
  </si>
  <si>
    <t>FY29EA</t>
  </si>
  <si>
    <t>FY30EA</t>
  </si>
  <si>
    <t>FY31EA</t>
  </si>
  <si>
    <t>Return on assets</t>
  </si>
  <si>
    <t>Return on capital employed</t>
  </si>
  <si>
    <t>Return on invested capital</t>
  </si>
  <si>
    <t>DuPont: net margin</t>
  </si>
  <si>
    <t>DuPont: asset turnover (x)</t>
  </si>
  <si>
    <t>DuPont: equity multiplier (x)</t>
  </si>
  <si>
    <t>ROE re-derived = margin x turnover x multiplier (live formula)</t>
  </si>
  <si>
    <t>FORENSIC SCREENS (engine output; a screen flags, it does not prove)</t>
  </si>
  <si>
    <t>Altman Z (variant )</t>
  </si>
  <si>
    <t>n/a.</t>
  </si>
  <si>
    <t>Piotroski F-score (of 9)</t>
  </si>
  <si>
    <t>Beneish M-score</t>
  </si>
  <si>
    <t>n/a (threshold n/a).</t>
  </si>
  <si>
    <t>Forensic audit complete: Overall Health: UNAVAILABLE | Altman Z: N/A (N/A) | Piotroski F: N/A/9 | Beneish M: N/A (N/A).</t>
  </si>
  <si>
    <t>ACCOUNTING QUALITY (assessment UNAVAILABLE)</t>
  </si>
  <si>
    <t>Check</t>
  </si>
  <si>
    <t>Value</t>
  </si>
  <si>
    <t>Flag</t>
  </si>
  <si>
    <t>Threshold</t>
  </si>
  <si>
    <t>Detail</t>
  </si>
  <si>
    <t>CASH_CONVERSION</t>
  </si>
  <si>
    <t>NOT_APPLICABLE</t>
  </si>
  <si>
    <t>RED &lt; 0.5, CAUTION &lt; 0.8</t>
  </si>
  <si>
    <t>Not applicable to a regulated balance-sheet financial: its operating cash flow and working capital are movements in its lending or underwriting book.</t>
  </si>
  <si>
    <t>ACCRUALS</t>
  </si>
  <si>
    <t>RED &gt; 0.1, CAUTION &gt; 0.05</t>
  </si>
  <si>
    <t>RECEIVABLES_VS_SALES</t>
  </si>
  <si>
    <t>CAUTION when tradeReceivables CAGR exceeds revenue CAGR by &gt; 10pp</t>
  </si>
  <si>
    <t>INVENTORY_VS_SALES</t>
  </si>
  <si>
    <t>CAUTION when inventories CAGR exceeds revenue CAGR by &gt; 10pp</t>
  </si>
  <si>
    <t>NON_CORE_RELIANCE</t>
  </si>
  <si>
    <t>CAUTION when other income &gt; 30% of PBT</t>
  </si>
  <si>
    <t>RECURRING_EXCEPTIONALS</t>
  </si>
  <si>
    <t>UNMEASURED</t>
  </si>
  <si>
    <t>CAUTION when exceptional items recur in 2+ years</t>
  </si>
  <si>
    <t>Exceptional items are not served for two or more years.</t>
  </si>
  <si>
    <t>BENEISH</t>
  </si>
  <si>
    <t>RED when the M-score flags a likely manipulator</t>
  </si>
  <si>
    <t>Beneish M-score inputs were not served.</t>
  </si>
  <si>
    <t>Schedules: fixed assets, working capital, capital allocation, leverage, segments</t>
  </si>
  <si>
    <t>Live formulas over the statement sheets (reported and forecast on one axis). A year whose source lines are absent shows n/a.</t>
  </si>
  <si>
    <t>FIXED ASSETS, CAPEX AND DEPRECIATION (INR crore)</t>
  </si>
  <si>
    <t>Property, plant &amp; equipment (net)</t>
  </si>
  <si>
    <t>Capital expenditure (outflow shown positive)</t>
  </si>
  <si>
    <t>Capex / revenue</t>
  </si>
  <si>
    <t>Capex / depreciation (x)</t>
  </si>
  <si>
    <t>Depreciation / opening net PPE</t>
  </si>
  <si>
    <t>WORKING CAPITAL (INR crore; days on a 365-day year)</t>
  </si>
  <si>
    <t>Trade working capital (receivables + inventories - payables)</t>
  </si>
  <si>
    <t>Receivable days (on revenue)</t>
  </si>
  <si>
    <t>Payable days (on total operating expenses)</t>
  </si>
  <si>
    <t>Inventory days (on total operating expenses)</t>
  </si>
  <si>
    <t>Inventory and payable days use total operating expenses as the cost base because the statements do not all carry cost of goods sold; they are comparable across years of this issuer, not to a peer using cost of sales.</t>
  </si>
  <si>
    <t>CAPITAL ALLOCATION AND LEVERAGE (INR crore)</t>
  </si>
  <si>
    <t>Cash from operations</t>
  </si>
  <si>
    <t>Free cash flow (CFO - capex)</t>
  </si>
  <si>
    <t>Dividends paid (outflow shown positive)</t>
  </si>
  <si>
    <t>Dividend payout (dividends / net income)</t>
  </si>
  <si>
    <t>Debt issued / (repaid)</t>
  </si>
  <si>
    <t>Share issuance / (repurchase)</t>
  </si>
  <si>
    <t>Gross borrowings (short-term + long-term)</t>
  </si>
  <si>
    <t>Cash and short-term investments</t>
  </si>
  <si>
    <t>Net debt (borrowings - cash and short-term investments; excludes leases and long-term investments)</t>
  </si>
  <si>
    <t>Net debt / EBITDA (x)</t>
  </si>
  <si>
    <t>Operating segments: no Ind AS 108 segment disclosure was read for this issuer and the provider published no split.</t>
  </si>
  <si>
    <t>LENDER SCHEDULE: filed lines (INR crore) and derived ratios</t>
  </si>
  <si>
    <t>Interest income</t>
  </si>
  <si>
    <t>Interest expense</t>
  </si>
  <si>
    <t>Non-interest income</t>
  </si>
  <si>
    <t>Operating expenses</t>
  </si>
  <si>
    <t>Provisions and contingencies</t>
  </si>
  <si>
    <t>Net profit</t>
  </si>
  <si>
    <t>Advances</t>
  </si>
  <si>
    <t>Deposits</t>
  </si>
  <si>
    <t>Borrowings</t>
  </si>
  <si>
    <t>Book equity</t>
  </si>
  <si>
    <t>Net interest income / total assets</t>
  </si>
  <si>
    <t>Cost-to-income (opex / (net interest income + non-interest income))</t>
  </si>
  <si>
    <t>Provisions / advances (credit-cost proxy)</t>
  </si>
  <si>
    <t>Advances / deposits</t>
  </si>
  <si>
    <t>Book equity / total assets</t>
  </si>
  <si>
    <t>Return on closing book equity</t>
  </si>
  <si>
    <t>Ratios are simple quotients of the filed lines above, on closing balances; they are not the regulatory ratios (NIM, GNPA, CRAR) the issuer reports in its own disclosures.</t>
  </si>
  <si>
    <t>SECTOR SCHEDULE (NBFC)</t>
  </si>
  <si>
    <t>Sector template</t>
  </si>
  <si>
    <t>Generic Operating Business</t>
  </si>
  <si>
    <t>Primary revenue method</t>
  </si>
  <si>
    <t>historical_trend_fallback</t>
  </si>
  <si>
    <t>Key drivers</t>
  </si>
  <si>
    <t>revenueGrowth; ebitdaMargin; capexPercentOfRevenue; workingCapitalRatio</t>
  </si>
  <si>
    <t>Typical gross-margin range</t>
  </si>
  <si>
    <t>[0.25,0.5]</t>
  </si>
  <si>
    <t>Typical opex ratio range</t>
  </si>
  <si>
    <t>[0.1,0.25]</t>
  </si>
  <si>
    <t>Life-cycle stage</t>
  </si>
  <si>
    <t>HIGH_GROWTH</t>
  </si>
  <si>
    <t>Cyclicality</t>
  </si>
  <si>
    <t>{"status":"UNAVAILABLE","reason":"INSUFFICIENT_HISTORY","detail":"Cyclicality needs at least 5 usable periods to distinguish a cycle from a trend; 0 are availab</t>
  </si>
  <si>
    <t>Facts: raw as-filed lines, canonical resolution, source documents</t>
  </si>
  <si>
    <t>The lines the statements were built from, by XBRL concept and fiscal year (INR crore), the canonical value against every second source with the authority that decided it, and the filings (hash, URL, retrieval time).</t>
  </si>
  <si>
    <t>As-filed statements: UNAVAILABLE no audited statutory XBRL filing was served for this issuer; the statements are not laid out line by line</t>
  </si>
  <si>
    <t>CANONICAL VS SECOND SOURCE (canonical provider NSE_LENDER_XBRL_STATUTORY; a primary filing; policy 2026-09-30.1)</t>
  </si>
  <si>
    <t>Rows 54: 18 agree, 3 conflict, 0 second source unavailable, 33 not comparable. The canonical value is never averaged with a second source.</t>
  </si>
  <si>
    <t>Field</t>
  </si>
  <si>
    <t>Fiscal year</t>
  </si>
  <si>
    <t>Canonical provider</t>
  </si>
  <si>
    <t>Canonical value</t>
  </si>
  <si>
    <t>Second provider</t>
  </si>
  <si>
    <t>Second value</t>
  </si>
  <si>
    <t>Agreement</t>
  </si>
  <si>
    <t>Relative difference</t>
  </si>
  <si>
    <t>Final value / provider</t>
  </si>
  <si>
    <t>FY24</t>
  </si>
  <si>
    <t>NSE_LENDER_XBRL_STATUTORY</t>
  </si>
  <si>
    <t>YAHOO_INDIA</t>
  </si>
  <si>
    <t>CONFLICT</t>
  </si>
  <si>
    <t>48319.6 (NSE_LENDER_XBRL_STATUTORY)</t>
  </si>
  <si>
    <t>NOT_COMPARABLE</t>
  </si>
  <si>
    <t>null (null)</t>
  </si>
  <si>
    <t>AGREE</t>
  </si>
  <si>
    <t>18724.7 (NSE_LENDER_XBRL_STATUTORY)</t>
  </si>
  <si>
    <t>19301.9 (NSE_LENDER_XBRL_STATUTORY)</t>
  </si>
  <si>
    <t>Tax expense</t>
  </si>
  <si>
    <t>4858.4 (NSE_LENDER_XBRL_STATUTORY)</t>
  </si>
  <si>
    <t>Profit for the period (total, incl. NCI)</t>
  </si>
  <si>
    <t>14451.2 (NSE_LENDER_XBRL_STATUTORY)</t>
  </si>
  <si>
    <t>Profit attributable to owners</t>
  </si>
  <si>
    <t>Diluted EPS (as filed, unrestated)</t>
  </si>
  <si>
    <t>375741.6 (NSE_LENDER_XBRL_STATUTORY)</t>
  </si>
  <si>
    <t>Total equity (incl. NCI)</t>
  </si>
  <si>
    <t>Equity attributable to owners</t>
  </si>
  <si>
    <t>76695.4 (NSE_LENDER_XBRL_STATUTORY)</t>
  </si>
  <si>
    <t>Equity share capital (paid-up value)</t>
  </si>
  <si>
    <t>Cash and cash equivalents</t>
  </si>
  <si>
    <t>Cash flow from operations</t>
  </si>
  <si>
    <t>Cash flow from investing</t>
  </si>
  <si>
    <t>Cash flow from financing</t>
  </si>
  <si>
    <t>Capital expenditure (magnitude)</t>
  </si>
  <si>
    <t>Share count</t>
  </si>
  <si>
    <t>FY25</t>
  </si>
  <si>
    <t>61204.9 (NSE_LENDER_XBRL_STATUTORY)</t>
  </si>
  <si>
    <t>24770.8 (NSE_LENDER_XBRL_STATUTORY)</t>
  </si>
  <si>
    <t>22061.8 (NSE_LENDER_XBRL_STATUTORY)</t>
  </si>
  <si>
    <t>5300.2 (NSE_LENDER_XBRL_STATUTORY)</t>
  </si>
  <si>
    <t>16637.8 (NSE_LENDER_XBRL_STATUTORY)</t>
  </si>
  <si>
    <t>466126.8 (NSE_LENDER_XBRL_STATUTORY)</t>
  </si>
  <si>
    <t>96692.9 (NSE_LENDER_XBRL_STATUTORY)</t>
  </si>
  <si>
    <t>FY26</t>
  </si>
  <si>
    <t>72783.1 (NSE_LENDER_XBRL_STATUTORY)</t>
  </si>
  <si>
    <t>28666 (NSE_LENDER_XBRL_STATUTORY)</t>
  </si>
  <si>
    <t>25800.2 (NSE_LENDER_XBRL_STATUTORY)</t>
  </si>
  <si>
    <t>6484.3 (NSE_LENDER_XBRL_STATUTORY)</t>
  </si>
  <si>
    <t>19017.4 (NSE_LENDER_XBRL_STATUTORY)</t>
  </si>
  <si>
    <t>559952.4 (NSE_LENDER_XBRL_STATUTORY)</t>
  </si>
  <si>
    <t>113999 (NSE_LENDER_XBRL_STATUTORY)</t>
  </si>
  <si>
    <t>Second source YAHOO_INDIA: USED -- Yahoo Finance fundamentals-timeseries (secondary aggregator)</t>
  </si>
  <si>
    <t>SOURCE DOCUMENTS</t>
  </si>
  <si>
    <t>Period</t>
  </si>
  <si>
    <t>Perimeter</t>
  </si>
  <si>
    <t>Provider</t>
  </si>
  <si>
    <t>Document</t>
  </si>
  <si>
    <t>URL</t>
  </si>
  <si>
    <t>sha256 of the stored bytes</t>
  </si>
  <si>
    <t>Retrieved</t>
  </si>
  <si>
    <t>Change log</t>
  </si>
  <si>
    <t>What changed, and against what. Vintages are saved snapshots of this issuer (each immutable, each with its hash); a change in fair value between two of them is the engine's, not this sheet's.</t>
  </si>
  <si>
    <t>SAVED SNAPSHOT VINTAGES OF THIS ISSUER (newest first; this workbook is marked)</t>
  </si>
  <si>
    <t>Snapshot</t>
  </si>
  <si>
    <t>Price (INR)</t>
  </si>
  <si>
    <t>Change vs this workbook (INR)</t>
  </si>
  <si>
    <t>Change (%)</t>
  </si>
  <si>
    <t>Assumptions hash (12)</t>
  </si>
  <si>
    <t>snap_BAJFINANCE_NS_14a597949db9  &lt;- THIS WORKBOOK</t>
  </si>
  <si>
    <t>74234e98afe7</t>
  </si>
  <si>
    <t>snap_BAJFINANCE_NS_9d96b80a9c43</t>
  </si>
  <si>
    <t>2026-11-01T15:05:35.503Z</t>
  </si>
  <si>
    <t>OVERRIDES APPLIED TO THIS WORKBOOK</t>
  </si>
  <si>
    <t>None: this is the base case (every driver is history-derived or a disclosed model policy).</t>
  </si>
  <si>
    <t>RESTATEMENTS, PERIOD BREAKS AND SOURCE CONFLICTS IN THE DATA</t>
  </si>
  <si>
    <t>Diagnostic WARNING</t>
  </si>
  <si>
    <t>WARN_LOW_QUALITY_CAPEX_ASSUMPTION</t>
  </si>
  <si>
    <t>Low quality CapEx assumption for 'BAJFINANCE.NS'. Direct statement CapEx omitted by provider; defaulted to 3.5% fallback intensity.</t>
  </si>
  <si>
    <t>Diagnostic INFO</t>
  </si>
  <si>
    <t>INFO_ROIC_INAPPLICABLE</t>
  </si>
  <si>
    <t>INAPPLICABLE_MODEL: return on invested capital is not defined for 'BAJFINANCE.NS', a regulated lender. Its balance sheet carries no corporate invested capital, and its terminal value is derived from residual income.</t>
  </si>
  <si>
    <t>WARN_HIST_IS_PAT_BRIDGE</t>
  </si>
  <si>
    <t>HIST_IS_PAT_BRIDGE: FY25: PBT 22,062 - tax 5,300 = 16,762, net income reported 16,638, 124 below it (unexplained: discontinued operations / minority / associates not itemised) | FY26: PBT 25,800 - tax 6,484 = 19,316, net income reported 19,017, 299 below it (unexplained: discontinued operations / minority / associates not itemised)</t>
  </si>
  <si>
    <t>WARN_SHARE_COUNT_MISMATCH</t>
  </si>
  <si>
    <t>Statement share count 61.8 (FY26) and market share count 622 differ 10.1x. A factor this large is what a combined split and bonus produces (2:1 split x 4:1 bonus = 10x) as well as what a unit error produces; the model does not choose between them without the exchange corporate-action record. Reported EPS (307.72) is on the statement count and was NOT restated, so EPS, P/E, BVPS and P/B on the statement basis are not comparable with the per-share fair value until it is confirmed.</t>
  </si>
  <si>
    <t>3 provider conflict(s) between the canonical filing value and a second source are listed on the Facts sheet; the filing value stands.</t>
  </si>
  <si>
    <t>Source audit: provenance, accounting and recalculation checks, peer selection, limits</t>
  </si>
  <si>
    <t>Every figure carries its filing; every identity the model must satisfy is listed with its result; nothing that failed is dropped.</t>
  </si>
  <si>
    <t>PROVENANCE (6 sourced figures)</t>
  </si>
  <si>
    <t>Line item</t>
  </si>
  <si>
    <t>Type</t>
  </si>
  <si>
    <t>Source filing</t>
  </si>
  <si>
    <t>sha256 of the stored filing</t>
  </si>
  <si>
    <t>Basis note</t>
  </si>
  <si>
    <t>Revenue (FY24)</t>
  </si>
  <si>
    <t>Crores</t>
  </si>
  <si>
    <t>Reported / Audited</t>
  </si>
  <si>
    <t>NSE Reg-33 audited annual results (Ind-AS NBFC), BAJFINANCE FY24, Consolidated</t>
  </si>
  <si>
    <t>https://nsearchives.nseindia.com/corporate/xbrl/NBFC_INDAS_104721_1108498_25042024091449.xml</t>
  </si>
  <si>
    <t>Net Income / PAT (FY24)</t>
  </si>
  <si>
    <t>Revenue (FY25)</t>
  </si>
  <si>
    <t>NSE Reg-33 audited annual results (Ind-AS NBFC), BAJFINANCE FY25, Consolidated</t>
  </si>
  <si>
    <t>https://nsearchives.nseindia.com/corporate/xbrl/INTEGRATED_FILING_NBFC_INDAS_1428677_30042025123348_WEB.xml</t>
  </si>
  <si>
    <t>Net Income / PAT (FY25)</t>
  </si>
  <si>
    <t>Revenue (FY26)</t>
  </si>
  <si>
    <t>NSE Reg-33 audited annual results (Ind-AS NBFC), BAJFINANCE FY26, Consolidated</t>
  </si>
  <si>
    <t>https://nsearchives.nseindia.com/corporate/xbrl/INTEGRATED_FILING_NBFC_INDAS_1661603_29042026104724_WEB.xml</t>
  </si>
  <si>
    <t>Net Income / PAT (FY26)</t>
  </si>
  <si>
    <t>ACCOUNTING AND RECALCULATION CHECKS (14 run; 13 pass; 1 not a plain pass, all shown first)</t>
  </si>
  <si>
    <t>Scope</t>
  </si>
  <si>
    <t>Computed</t>
  </si>
  <si>
    <t>Reported</t>
  </si>
  <si>
    <t>Difference</t>
  </si>
  <si>
    <t>The model publishes no balancing line</t>
  </si>
  <si>
    <t>FAIL</t>
  </si>
  <si>
    <t>the share of assets absorbed by a balancing line is nil in every year -- worst difference INR 14.6800 Cr</t>
  </si>
  <si>
    <t>Balance sheet balances in every forecast year</t>
  </si>
  <si>
    <t>PASS</t>
  </si>
  <si>
    <t>assets - (deposits + borrowings + other liabilities + equity) = 0 from the published lines, with no balancing line</t>
  </si>
  <si>
    <t>Cash-flow closing liquidity = balance-sheet liquidity</t>
  </si>
  <si>
    <t>the cash flow ends on the liquidity and investment line of the balance sheet</t>
  </si>
  <si>
    <t>Each year's opening liquidity = the prior year's closing</t>
  </si>
  <si>
    <t>opening and closing liquidity chain across the forecast</t>
  </si>
  <si>
    <t>Change in liquidity = operations - dividends + net borrowing</t>
  </si>
  <si>
    <t>the cash-flow sections sum to the change in liquidity</t>
  </si>
  <si>
    <t>Closing liquidity = opening + change in liquidity</t>
  </si>
  <si>
    <t>liquidity rolls by the cash flow</t>
  </si>
  <si>
    <t>Equity rolls forward by profit - dividends</t>
  </si>
  <si>
    <t>equity moves only by retained profit (clean surplus)</t>
  </si>
  <si>
    <t>Pre-provision profit - provisions - tax = profit</t>
  </si>
  <si>
    <t>no unexplained reconciling item between pre-provision profit and profit</t>
  </si>
  <si>
    <t>Net interest income + non-interest income = net revenue</t>
  </si>
  <si>
    <t>revenue is built from its two parts</t>
  </si>
  <si>
    <t>Liquidity as the balance-sheet residual = liquidity from the cash flow</t>
  </si>
  <si>
    <t>with every other line fixed, the cash flow lands on exactly the liquidity the balance sheet needs</t>
  </si>
  <si>
    <t>Borrowings and liquidity are never negative</t>
  </si>
  <si>
    <t>a funding shortfall is withheld by the model, not published as negative borrowings or negative liquidity</t>
  </si>
  <si>
    <t>No DCF reading without a DCF</t>
  </si>
  <si>
    <t>VALUATION</t>
  </si>
  <si>
    <t>no DCF ran and no reading is published</t>
  </si>
  <si>
    <t>No bonus / split is classified as economic dilution</t>
  </si>
  <si>
    <t>HISTORICAL</t>
  </si>
  <si>
    <t>no share-count events</t>
  </si>
  <si>
    <t>Canonical v1 accounting invariants</t>
  </si>
  <si>
    <t>Critical Integrity Checks</t>
  </si>
  <si>
    <t>All canonical v1 accounting invariants hold across every projected period.</t>
  </si>
  <si>
    <t>PEER SELECTION (status AVAILABLE)</t>
  </si>
  <si>
    <t>Peer set</t>
  </si>
  <si>
    <t>Selection rule</t>
  </si>
  <si>
    <t>Rationale</t>
  </si>
  <si>
    <t>Members</t>
  </si>
  <si>
    <t>Whole-company comparable set</t>
  </si>
  <si>
    <t>COMPANY</t>
  </si>
  <si>
    <t>analyst-defined NBFC universe, subject excluded</t>
  </si>
  <si>
    <t>CHOLAFIN.NS, LICHSGFIN.NS, M&amp;MFIN.NS, MUTHOOTFIN.NS, SHRIRAMFIN.NS</t>
  </si>
  <si>
    <t>PUBLICATION STATE AND LIMITS</t>
  </si>
  <si>
    <t>Statement perimeter</t>
  </si>
  <si>
    <t>Consolidated</t>
  </si>
  <si>
    <t>Model package status</t>
  </si>
  <si>
    <t>FAILED</t>
  </si>
  <si>
    <t>LOW</t>
  </si>
  <si>
    <t>Peer intelligence</t>
  </si>
  <si>
    <t>Withheld / not measured</t>
  </si>
  <si>
    <t>Confidence gate</t>
  </si>
  <si>
    <t>VALUE_PRICE_DIVERGENCE: fair value 364.92 is -61% from price 939.1 (limit +/-60%).</t>
  </si>
  <si>
    <t>SAVED RECORD AND VERIFIER RECEIPTS</t>
  </si>
  <si>
    <t>This snapshot's saved record (provenance, publication states, discrepancies, peer selection, limits and every verifier receipt) is kept by FMB beside the exported files: GET /api/export/snapshot/snap_BAJFINANCE_NS_14a597949db9/record. Receipts are appended as verifiers run (workbook formula re-derivation, independent Monte Carlo), so they are read from the record, not stored in this file.</t>
  </si>
  <si>
    <t>Chart data (editable)</t>
  </si>
  <si>
    <t>The numbers behind the native charts on this sheet. Edit a cell and the chart redraws. Source is stated per block; nothing here is a forecast of its own.</t>
  </si>
  <si>
    <t>MONTE CARLO charts</t>
  </si>
  <si>
    <t>Not drawn: no Monte Carlo was published for this issuer. A distribution is not invented where the engine withheld one.</t>
  </si>
  <si>
    <t>FOOTBALL FIELD: value per share by method (INR); the primary method is never averaged with the cross-checks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</si>
</sst>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Red]-0.0%"/>
    <numFmt numFmtId="165" formatCode="#,##0.0;[Red]-#,##0.0"/>
    <numFmt numFmtId="166" formatCode="0.0&quot;x&quot;"/>
    <numFmt numFmtId="167" formatCode="0.0"/>
    <numFmt numFmtId="168" formatCode="0.000"/>
  </numFmts>
  <fonts count="6" x14ac:knownFonts="1">
    <font>
      <color theme="1"/>
      <family val="2"/>
      <scheme val="minor"/>
      <sz val="11"/>
      <name val="Calibri"/>
    </font>
    <font>
      <b/>
      <color rgb="FF0F172A"/>
      <sz val="16"/>
      <name val="Calibri"/>
    </font>
    <font>
      <i/>
      <color rgb="FF64748B"/>
      <sz val="10"/>
      <name val="Calibri"/>
    </font>
    <font>
      <b/>
      <color rgb="FF1E293B"/>
      <sz val="12"/>
      <name val="Calibri"/>
    </font>
    <font>
      <b/>
      <sz val="11"/>
      <name val="Calibri"/>
    </font>
    <font>
      <b/>
      <color rgb="FFFFFFFF"/>
      <sz val="11"/>
      <name val="Calibri"/>
    </font>
  </fonts>
  <fills count="6">
    <fill>
      <patternFill patternType="none"/>
    </fill>
    <fill>
      <patternFill patternType="gray125"/>
    </fill>
    <fill>
      <patternFill patternType="solid">
        <fgColor rgb="FFF1F5F9"/>
      </patternFill>
    </fill>
    <fill>
      <patternFill patternType="solid">
        <fgColor rgb="FF1E293B"/>
      </patternFill>
    </fill>
    <fill>
      <patternFill patternType="solid">
        <fgColor rgb="FFEFF6FF"/>
      </patternFill>
    </fill>
    <fill>
      <patternFill patternType="solid">
        <fgColor rgb="FFE2E8F0"/>
      </patternFill>
    </fill>
  </fills>
  <borders count="2">
    <border>
      <left/>
      <right/>
      <top/>
      <bottom/>
      <diagonal/>
    </border>
    <border>
      <left/>
      <right/>
      <top/>
      <bottom style="thin">
        <color rgb="FFE2E8F0"/>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0" borderId="0" xfId="0" applyFont="1"/>
    <xf numFmtId="4" fontId="4" fillId="0" borderId="0" xfId="0" applyNumberFormat="1" applyFont="1"/>
    <xf numFmtId="164" fontId="4" fillId="0" borderId="0" xfId="0" applyNumberFormat="1" applyFont="1"/>
    <xf numFmtId="0" fontId="0" fillId="0" borderId="0" xfId="0" applyAlignment="1">
      <alignment vertical="top" wrapText="1"/>
    </xf>
    <xf numFmtId="0" fontId="5" fillId="3" borderId="0" xfId="0" applyFont="1" applyFill="1" applyAlignment="1">
      <alignment horizontal="left" vertical="center" wrapText="1"/>
    </xf>
    <xf numFmtId="0" fontId="5" fillId="3" borderId="0" xfId="0" applyFont="1" applyFill="1" applyAlignment="1">
      <alignment horizontal="center" vertical="center" wrapText="1"/>
    </xf>
    <xf numFmtId="165" fontId="4" fillId="0" borderId="0" xfId="0" applyNumberFormat="1" applyFont="1"/>
    <xf numFmtId="0" fontId="4" fillId="4" borderId="0" xfId="0" applyFont="1" applyFill="1"/>
    <xf numFmtId="0" fontId="0" fillId="4" borderId="0" xfId="0" applyFill="1"/>
    <xf numFmtId="166" fontId="0" fillId="0" borderId="0" xfId="0" applyNumberFormat="1"/>
    <xf numFmtId="166" fontId="4" fillId="0" borderId="0" xfId="0" applyNumberFormat="1" applyFont="1"/>
    <xf numFmtId="1" fontId="0" fillId="0" borderId="0" xfId="0" applyNumberFormat="1"/>
    <xf numFmtId="167" fontId="0" fillId="0" borderId="0" xfId="0" applyNumberFormat="1"/>
    <xf numFmtId="167" fontId="4" fillId="0" borderId="0" xfId="0" applyNumberFormat="1" applyFont="1"/>
    <xf numFmtId="165" fontId="4" fillId="0" borderId="1" xfId="0" applyNumberFormat="1" applyFont="1" applyBorder="1"/>
    <xf numFmtId="0" fontId="4" fillId="4" borderId="1" xfId="0" applyFont="1" applyFill="1" applyBorder="1"/>
    <xf numFmtId="0" fontId="0" fillId="0" borderId="1" xfId="0" applyBorder="1"/>
    <xf numFmtId="164" fontId="0" fillId="0" borderId="1" xfId="0" applyNumberFormat="1" applyBorder="1"/>
    <xf numFmtId="0" fontId="0" fillId="4" borderId="1" xfId="0" applyFill="1" applyBorder="1"/>
    <xf numFmtId="0" fontId="4" fillId="0" borderId="1" xfId="0" applyFont="1" applyBorder="1"/>
    <xf numFmtId="165" fontId="0" fillId="0" borderId="1" xfId="0" applyNumberFormat="1" applyBorder="1"/>
    <xf numFmtId="4" fontId="0" fillId="0" borderId="1" xfId="0" applyNumberFormat="1" applyBorder="1"/>
    <xf numFmtId="4" fontId="0" fillId="0" borderId="0" xfId="0" applyNumberFormat="1"/>
    <xf numFmtId="0" fontId="4" fillId="5" borderId="0" xfId="0" applyFont="1" applyFill="1"/>
    <xf numFmtId="166" fontId="4" fillId="5" borderId="0" xfId="0" applyNumberFormat="1" applyFont="1" applyFill="1"/>
    <xf numFmtId="167" fontId="4" fillId="5" borderId="0" xfId="0" applyNumberFormat="1" applyFont="1" applyFill="1"/>
    <xf numFmtId="2" fontId="0" fillId="0" borderId="0" xfId="0" applyNumberFormat="1"/>
    <xf numFmtId="168" fontId="0" fillId="0" borderId="0" xfId="0" applyNumberFormat="1"/>
    <xf numFmtId="164" fontId="0" fillId="0" borderId="0" xfId="0" applyNumberFormat="1"/>
    <xf numFmtId="165"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charts/chart1.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Revenue</a:t>
            </a:r>
          </a:p>
        </c:rich>
      </c:tx>
      <c:layout/>
    </c:title>
    <c:autoTitleDeleted val="0"/>
    <c:plotArea>
      <c:layout/>
      <c:barChart>
        <c:barDir val="col"/>
        <c:grouping val="clustered"/>
        <c:overlap val="-20"/>
        <c:gapWidth val="150"/>
        <c:ser>
          <c:idx val="0"/>
          <c:order val="0"/>
          <c:tx>
            <c:v>Revenue</c:v>
          </c:tx>
          <c:cat>
            <c:strRef>
              <c:f>'Summary'!$C$14:$J$14</c:f>
              <c:strCache>
                <c:ptCount val="8"/>
                <c:pt idx="0">
                  <c:v>FY24A</c:v>
                </c:pt>
                <c:pt idx="1">
                  <c:v>FY25A</c:v>
                </c:pt>
                <c:pt idx="2">
                  <c:v>FY26A</c:v>
                </c:pt>
                <c:pt idx="3">
                  <c:v>FY27E</c:v>
                </c:pt>
                <c:pt idx="4">
                  <c:v>FY28E</c:v>
                </c:pt>
                <c:pt idx="5">
                  <c:v>FY29E</c:v>
                </c:pt>
                <c:pt idx="6">
                  <c:v>FY30E</c:v>
                </c:pt>
                <c:pt idx="7">
                  <c:v>FY31E</c:v>
                </c:pt>
              </c:strCache>
            </c:strRef>
          </c:cat>
          <c:val>
            <c:numRef>
              <c:f>'Summary'!$C$15:$J$15</c:f>
              <c:numCache>
                <c:formatCode>#,##0</c:formatCode>
                <c:ptCount val="8"/>
                <c:pt idx="0">
                  <c:v>48319.6</c:v>
                </c:pt>
                <c:pt idx="1">
                  <c:v>61204.9</c:v>
                </c:pt>
                <c:pt idx="2">
                  <c:v>72783.1</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2.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EBITDA margin</a:t>
            </a:r>
          </a:p>
        </c:rich>
      </c:tx>
      <c:layout/>
    </c:title>
    <c:autoTitleDeleted val="0"/>
    <c:plotArea>
      <c:layout/>
      <c:lineChart>
        <c:grouping val="standard"/>
        <c:ser>
          <c:idx val="0"/>
          <c:order val="0"/>
          <c:tx>
            <c:v>EBITDA margin</c:v>
          </c:tx>
          <c:cat>
            <c:strRef>
              <c:f>'Summary'!$C$14:$J$14</c:f>
              <c:strCache>
                <c:ptCount val="8"/>
                <c:pt idx="0">
                  <c:v>FY24A</c:v>
                </c:pt>
                <c:pt idx="1">
                  <c:v>FY25A</c:v>
                </c:pt>
                <c:pt idx="2">
                  <c:v>FY26A</c:v>
                </c:pt>
                <c:pt idx="3">
                  <c:v>FY27E</c:v>
                </c:pt>
                <c:pt idx="4">
                  <c:v>FY28E</c:v>
                </c:pt>
                <c:pt idx="5">
                  <c:v>FY29E</c:v>
                </c:pt>
                <c:pt idx="6">
                  <c:v>FY30E</c:v>
                </c:pt>
                <c:pt idx="7">
                  <c:v>FY31E</c:v>
                </c:pt>
              </c:strCache>
            </c:strRef>
          </c:cat>
          <c:val>
            <c:numRef>
              <c:f>'Summary'!$C$17:$J$17</c:f>
              <c:numCache>
                <c:formatCode>0%</c:formatCode>
                <c:ptCount val="8"/>
              </c:numCache>
            </c:numRef>
          </c:val>
        </c:ser>
        <c:axId val="10000001"/>
        <c:axId val="10000002"/>
      </c:line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3.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Free cash flow (CFO - CapEx)</a:t>
            </a:r>
          </a:p>
        </c:rich>
      </c:tx>
      <c:layout/>
    </c:title>
    <c:autoTitleDeleted val="0"/>
    <c:plotArea>
      <c:layout/>
      <c:barChart>
        <c:barDir val="col"/>
        <c:grouping val="clustered"/>
        <c:overlap val="-20"/>
        <c:gapWidth val="150"/>
        <c:ser>
          <c:idx val="0"/>
          <c:order val="0"/>
          <c:tx>
            <c:v>FCF</c:v>
          </c:tx>
          <c:cat>
            <c:strRef>
              <c:f>'Summary'!$C$14:$J$14</c:f>
              <c:strCache>
                <c:ptCount val="8"/>
                <c:pt idx="0">
                  <c:v>FY24A</c:v>
                </c:pt>
                <c:pt idx="1">
                  <c:v>FY25A</c:v>
                </c:pt>
                <c:pt idx="2">
                  <c:v>FY26A</c:v>
                </c:pt>
                <c:pt idx="3">
                  <c:v>FY27E</c:v>
                </c:pt>
                <c:pt idx="4">
                  <c:v>FY28E</c:v>
                </c:pt>
                <c:pt idx="5">
                  <c:v>FY29E</c:v>
                </c:pt>
                <c:pt idx="6">
                  <c:v>FY30E</c:v>
                </c:pt>
                <c:pt idx="7">
                  <c:v>FY31E</c:v>
                </c:pt>
              </c:strCache>
            </c:strRef>
          </c:cat>
          <c:val>
            <c:numRef>
              <c:f>'Summary'!$C$20:$J$20</c:f>
              <c:numCache>
                <c:formatCode>#,##0</c:formatCode>
                <c:ptCount val="8"/>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4.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Football field: base value per share by method (INR)</a:t>
            </a:r>
          </a:p>
        </c:rich>
      </c:tx>
      <c:layout/>
    </c:title>
    <c:autoTitleDeleted val="0"/>
    <c:plotArea>
      <c:layout/>
      <c:barChart>
        <c:barDir val="col"/>
        <c:grouping val="clustered"/>
        <c:overlap val="-20"/>
        <c:gapWidth val="150"/>
        <c:ser>
          <c:idx val="0"/>
          <c:order val="0"/>
          <c:tx>
            <c:v>Base</c:v>
          </c:tx>
          <c:cat>
            <c:strRef>
              <c:f>'Chart Data'!$A$9:$A$11</c:f>
              <c:strCache>
                <c:ptCount val="3"/>
                <c:pt idx="0">
                  <c:v>Multi-Stage Residual Income (13.83% Ke, 5.0% g)</c:v>
                </c:pt>
                <c:pt idx="1">
                  <c:v>Fundamental Justified P/B (20.6% stable ROE -&gt; 1.76x P/B)</c:v>
                </c:pt>
                <c:pt idx="2">
                  <c:v>Dividend Discount Model (13% forecast payout, 76% sustainable terminal payout)</c:v>
                </c:pt>
              </c:strCache>
            </c:strRef>
          </c:cat>
          <c:val>
            <c:numRef>
              <c:f>'Chart Data'!$C$9:$C$11</c:f>
              <c:numCache>
                <c:formatCode>#,##0</c:formatCode>
                <c:ptCount val="3"/>
                <c:pt idx="0">
                  <c:v>364.92</c:v>
                </c:pt>
                <c:pt idx="1">
                  <c:v>323.08</c:v>
                </c:pt>
                <c:pt idx="2">
                  <c:v>342.65</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drawings/_rels/drawing1.xml.rels><?xml version="1.0" encoding="UTF-8" standalone="yes"?>
<Relationships xmlns="http://schemas.openxmlformats.org/package/2006/relationships">
  <Relationship Id="rIdChart1" Type="http://schemas.openxmlformats.org/officeDocument/2006/relationships/chart" Target="../charts/chart1.xml"/>
  <Relationship Id="rIdChart2" Type="http://schemas.openxmlformats.org/officeDocument/2006/relationships/chart" Target="../charts/chart2.xml"/>
  <Relationship Id="rIdChart3" Type="http://schemas.openxmlformats.org/officeDocument/2006/relationships/chart" Target="../charts/chart3.xml"/>
</Relationships>
</file>

<file path=xl/drawings/_rels/drawing2.xml.rels><?xml version="1.0" encoding="UTF-8" standalone="yes"?>
<Relationships xmlns="http://schemas.openxmlformats.org/package/2006/relationships">
  <Relationship Id="rIdChart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dr:twoCellAnchor>
    <xdr:from>
      <xdr:col>0</xdr:col>
      <xdr:colOff>0</xdr:colOff>
      <xdr:row>38</xdr:row>
      <xdr:rowOff>0</xdr:rowOff>
    </xdr:from>
    <xdr:to>
      <xdr:col>5</xdr:col>
      <xdr:colOff>0</xdr:colOff>
      <xdr:row>54</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1"/>
        </a:graphicData>
      </a:graphic>
    </xdr:graphicFrame>
    <xdr:clientData/>
  </xdr:twoCellAnchor>
  <xdr:twoCellAnchor>
    <xdr:from>
      <xdr:col>5</xdr:col>
      <xdr:colOff>0</xdr:colOff>
      <xdr:row>38</xdr:row>
      <xdr:rowOff>0</xdr:rowOff>
    </xdr:from>
    <xdr:to>
      <xdr:col>11</xdr:col>
      <xdr:colOff>0</xdr:colOff>
      <xdr:row>54</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2"/>
        </a:graphicData>
      </a:graphic>
    </xdr:graphicFrame>
    <xdr:clientData/>
  </xdr:twoCellAnchor>
  <xdr:twoCellAnchor>
    <xdr:from>
      <xdr:col>0</xdr:col>
      <xdr:colOff>0</xdr:colOff>
      <xdr:row>55</xdr:row>
      <xdr:rowOff>0</xdr:rowOff>
    </xdr:from>
    <xdr:to>
      <xdr:col>5</xdr:col>
      <xdr:colOff>0</xdr:colOff>
      <xdr:row>71</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3</xdr:row>
      <xdr:rowOff>0</xdr:rowOff>
    </xdr:from>
    <xdr:to>
      <xdr:col>17</xdr:col>
      <xdr:colOff>0</xdr:colOff>
      <xdr:row>19</xdr:row>
      <xdr:rowOff>0</xdr:rowOff>
    </xdr:to>
    <xdr:graphicFrame macro="">
      <xdr:nvGraphicFramePr>
        <xdr:cNvPr id="2"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  <Relationship Id="rIdDrawing1" Type="http://schemas.openxmlformats.org/officeDocument/2006/relationships/drawing" Target="../drawings/drawing1.xml"/>
</Relationships>
</file>

<file path=xl/worksheets/_rels/sheet15.xml.rels><?xml version="1.0" encoding="UTF-8" standalone="yes"?>
<Relationships xmlns="http://schemas.openxmlformats.org/package/2006/relationships">  <Relationship Id="rIdDrawing2"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2" width="30" customWidth="1"/>
    <col min="3" max="10" width="13" customWidth="1"/>
  </cols>
  <sheetData>
    <row r="1" spans="1:1" x14ac:dyDescent="0.25">
      <c r="A1" s="1" t="s">
        <v>0</v>
      </c>
    </row>
    <row r="2" spans="1:1" x14ac:dyDescent="0.25">
      <c r="A2" s="2" t="s">
        <v>1</v>
      </c>
    </row>
    <row r="5" spans="1:8" x14ac:dyDescent="0.25">
      <c r="A5" s="3" t="s">
        <v>2</v>
      </c>
      <c r="B5" s="4"/>
      <c r="C5" s="4"/>
      <c r="D5" s="4"/>
      <c r="E5" s="4"/>
      <c r="F5" s="4"/>
      <c r="G5" s="4"/>
      <c r="H5" s="4"/>
    </row>
    <row r="6" spans="1:2" x14ac:dyDescent="0.25">
      <c r="A6" s="5" t="s">
        <v>3</v>
      </c>
      <c r="B6" s="6">
        <f>'Valuation'!B7</f>
        <v>939.1</v>
      </c>
    </row>
    <row r="7" spans="1:2" x14ac:dyDescent="0.25">
      <c r="A7" s="5" t="s">
        <v>4</v>
      </c>
      <c r="B7" s="6">
        <f>'Valuation'!B6</f>
        <v>364.92</v>
      </c>
    </row>
    <row r="8" spans="1:2" x14ac:dyDescent="0.25">
      <c r="A8" s="5" t="s">
        <v>5</v>
      </c>
      <c r="B8" s="7">
        <f>'Valuation'!B8</f>
        <v>-0.6114151847513577</v>
      </c>
    </row>
    <row r="9" spans="1:2" x14ac:dyDescent="0.25">
      <c r="A9" s="5" t="s">
        <v>6</v>
      </c>
      <c r="B9" t="s">
        <v>7</v>
      </c>
    </row>
    <row r="10" spans="1:2" x14ac:dyDescent="0.25">
      <c r="A10" s="5" t="s">
        <v>8</v>
      </c>
      <c r="B10" t="s">
        <v>9</v>
      </c>
    </row>
    <row r="11" ht="30" customHeight="1" spans="1:8" x14ac:dyDescent="0.25">
      <c r="A11" s="5" t="s">
        <v>10</v>
      </c>
      <c r="B11" s="8" t="s">
        <v>11</v>
      </c>
      <c r="C11" s="8"/>
      <c r="D11" s="8"/>
      <c r="E11" s="8"/>
      <c r="F11" s="8"/>
      <c r="G11" s="8"/>
      <c r="H11" s="8"/>
    </row>
    <row r="13" spans="1:10" x14ac:dyDescent="0.25">
      <c r="A13" s="3" t="s">
        <v>12</v>
      </c>
      <c r="B13" s="4"/>
      <c r="C13" s="4"/>
      <c r="D13" s="4"/>
      <c r="E13" s="4"/>
      <c r="F13" s="4"/>
      <c r="G13" s="4"/>
      <c r="H13" s="4"/>
      <c r="I13" s="4"/>
      <c r="J13" s="4"/>
    </row>
    <row r="14" spans="1:10" x14ac:dyDescent="0.25">
      <c r="A14" s="9"/>
      <c r="B14" s="10" t="s">
        <v>13</v>
      </c>
      <c r="C14" s="10" t="s">
        <v>14</v>
      </c>
      <c r="D14" s="10" t="s">
        <v>15</v>
      </c>
      <c r="E14" s="10" t="s">
        <v>16</v>
      </c>
      <c r="F14" s="10" t="s">
        <v>17</v>
      </c>
      <c r="G14" s="10" t="s">
        <v>18</v>
      </c>
      <c r="H14" s="10" t="s">
        <v>19</v>
      </c>
      <c r="I14" s="10" t="s">
        <v>20</v>
      </c>
      <c r="J14" s="10" t="s">
        <v>21</v>
      </c>
    </row>
    <row r="15" spans="1:10" x14ac:dyDescent="0.25">
      <c r="A15" s="5" t="s">
        <v>22</v>
      </c>
      <c r="B15" s="2" t="s">
        <v>23</v>
      </c>
      <c r="C15" s="11">
        <f>'Income Statement'!B5</f>
        <v>48319.6</v>
      </c>
      <c r="D15" s="11">
        <f>'Income Statement'!C5</f>
        <v>61204.9</v>
      </c>
      <c r="E15" s="11">
        <f>'Income Statement'!D5</f>
        <v>72783.1</v>
      </c>
      <c r="F15" s="12" t="s">
        <v>24</v>
      </c>
      <c r="G15" s="12" t="s">
        <v>24</v>
      </c>
      <c r="H15" s="12" t="s">
        <v>24</v>
      </c>
      <c r="I15" s="12" t="s">
        <v>24</v>
      </c>
      <c r="J15" s="12" t="s">
        <v>24</v>
      </c>
    </row>
    <row r="16" spans="1:10" x14ac:dyDescent="0.25">
      <c r="A16" s="5" t="s">
        <v>25</v>
      </c>
      <c r="B16" s="2" t="s">
        <v>23</v>
      </c>
      <c r="C16" s="5" t="s">
        <v>24</v>
      </c>
      <c r="D16" s="5" t="s">
        <v>24</v>
      </c>
      <c r="E16" s="5" t="s">
        <v>24</v>
      </c>
      <c r="F16" s="12" t="s">
        <v>24</v>
      </c>
      <c r="G16" s="12" t="s">
        <v>24</v>
      </c>
      <c r="H16" s="12" t="s">
        <v>24</v>
      </c>
      <c r="I16" s="12" t="s">
        <v>24</v>
      </c>
      <c r="J16" s="12" t="s">
        <v>24</v>
      </c>
    </row>
    <row r="17" spans="1:10" x14ac:dyDescent="0.25">
      <c r="A17" t="s">
        <v>26</v>
      </c>
      <c r="B17" s="2" t="s">
        <v>23</v>
      </c>
      <c r="C17" t="s">
        <v>24</v>
      </c>
      <c r="D17" t="s">
        <v>24</v>
      </c>
      <c r="E17" t="s">
        <v>24</v>
      </c>
      <c r="F17" s="13" t="s">
        <v>24</v>
      </c>
      <c r="G17" s="13" t="s">
        <v>24</v>
      </c>
      <c r="H17" s="13" t="s">
        <v>24</v>
      </c>
      <c r="I17" s="13" t="s">
        <v>24</v>
      </c>
      <c r="J17" s="13" t="s">
        <v>24</v>
      </c>
    </row>
    <row r="18" spans="1:10" x14ac:dyDescent="0.25">
      <c r="A18" s="5" t="s">
        <v>27</v>
      </c>
      <c r="B18" s="2" t="s">
        <v>23</v>
      </c>
      <c r="C18" s="11">
        <f>'Income Statement'!B20</f>
        <v>14451.2</v>
      </c>
      <c r="D18" s="11">
        <f>'Income Statement'!C20</f>
        <v>16637.8</v>
      </c>
      <c r="E18" s="11">
        <f>'Income Statement'!D20</f>
        <v>19017.4</v>
      </c>
      <c r="F18" s="12" t="s">
        <v>24</v>
      </c>
      <c r="G18" s="12" t="s">
        <v>24</v>
      </c>
      <c r="H18" s="12" t="s">
        <v>24</v>
      </c>
      <c r="I18" s="12" t="s">
        <v>24</v>
      </c>
      <c r="J18" s="12" t="s">
        <v>24</v>
      </c>
    </row>
    <row r="19" spans="1:10" x14ac:dyDescent="0.25">
      <c r="A19" t="s">
        <v>28</v>
      </c>
      <c r="B19" s="2" t="s">
        <v>23</v>
      </c>
      <c r="C19" t="s">
        <v>24</v>
      </c>
      <c r="D19" t="s">
        <v>24</v>
      </c>
      <c r="E19" t="s">
        <v>24</v>
      </c>
      <c r="F19" s="13" t="s">
        <v>24</v>
      </c>
      <c r="G19" s="13" t="s">
        <v>24</v>
      </c>
      <c r="H19" s="13" t="s">
        <v>24</v>
      </c>
      <c r="I19" s="13" t="s">
        <v>24</v>
      </c>
      <c r="J19" s="13" t="s">
        <v>24</v>
      </c>
    </row>
    <row r="20" spans="1:10" x14ac:dyDescent="0.25">
      <c r="A20" s="5" t="s">
        <v>29</v>
      </c>
      <c r="B20" s="2" t="s">
        <v>30</v>
      </c>
      <c r="C20" s="5" t="s">
        <v>24</v>
      </c>
      <c r="D20" s="5" t="s">
        <v>24</v>
      </c>
      <c r="E20" s="5" t="s">
        <v>24</v>
      </c>
      <c r="F20" s="12" t="s">
        <v>24</v>
      </c>
      <c r="G20" s="12" t="s">
        <v>24</v>
      </c>
      <c r="H20" s="12" t="s">
        <v>24</v>
      </c>
      <c r="I20" s="12" t="s">
        <v>24</v>
      </c>
      <c r="J20" s="12" t="s">
        <v>24</v>
      </c>
    </row>
    <row r="21" spans="1:10" x14ac:dyDescent="0.25">
      <c r="A21" t="s">
        <v>31</v>
      </c>
      <c r="B21" s="2" t="s">
        <v>32</v>
      </c>
      <c r="C21" t="s">
        <v>24</v>
      </c>
      <c r="D21" t="s">
        <v>24</v>
      </c>
      <c r="E21" t="s">
        <v>24</v>
      </c>
      <c r="F21" s="13" t="s">
        <v>24</v>
      </c>
      <c r="G21" s="13" t="s">
        <v>24</v>
      </c>
      <c r="H21" s="13" t="s">
        <v>24</v>
      </c>
      <c r="I21" s="13" t="s">
        <v>24</v>
      </c>
      <c r="J21" s="13" t="s">
        <v>24</v>
      </c>
    </row>
    <row r="23" spans="1:8" x14ac:dyDescent="0.25">
      <c r="A23" s="3" t="s">
        <v>33</v>
      </c>
      <c r="B23" s="4"/>
      <c r="C23" s="4"/>
      <c r="D23" s="4"/>
      <c r="E23" s="4"/>
      <c r="F23" s="4"/>
      <c r="G23" s="4"/>
      <c r="H23" s="4"/>
    </row>
    <row r="24" spans="1:4" x14ac:dyDescent="0.25">
      <c r="A24" s="9" t="s">
        <v>34</v>
      </c>
      <c r="B24" s="10" t="s">
        <v>35</v>
      </c>
      <c r="C24" s="10" t="s">
        <v>36</v>
      </c>
      <c r="D24" s="10" t="s">
        <v>37</v>
      </c>
    </row>
    <row r="25" spans="1:4" x14ac:dyDescent="0.25">
      <c r="A25" t="s">
        <v>38</v>
      </c>
      <c r="B25" s="14">
        <v>30.244103041589074</v>
      </c>
      <c r="C25" s="15">
        <f>'Peers'!C14</f>
        <v>12.716183152743795</v>
      </c>
      <c r="D25" s="16">
        <v>5</v>
      </c>
    </row>
    <row r="26" spans="1:4" x14ac:dyDescent="0.25">
      <c r="A26" t="s">
        <v>39</v>
      </c>
      <c r="B26" s="14">
        <v>4.74658018006316</v>
      </c>
      <c r="C26" s="15">
        <f>'Peers'!D14</f>
        <v>1.5308751751659158</v>
      </c>
      <c r="D26" s="16">
        <v>4</v>
      </c>
    </row>
    <row r="27" spans="1:4" x14ac:dyDescent="0.25">
      <c r="A27" t="s">
        <v>40</v>
      </c>
      <c r="B27" s="17">
        <v>15.694233595012136</v>
      </c>
      <c r="C27" s="18">
        <f>'Peers'!F14</f>
        <v>11.590020996506487</v>
      </c>
      <c r="D27" s="16">
        <v>4</v>
      </c>
    </row>
    <row r="29" spans="1:8" x14ac:dyDescent="0.25">
      <c r="A29" s="3" t="s">
        <v>41</v>
      </c>
      <c r="B29" s="4"/>
      <c r="C29" s="4"/>
      <c r="D29" s="4"/>
      <c r="E29" s="4"/>
      <c r="F29" s="4"/>
      <c r="G29" s="4"/>
      <c r="H29" s="4"/>
    </row>
    <row r="30" spans="1:1" x14ac:dyDescent="0.25">
      <c r="A30" t="s">
        <v>42</v>
      </c>
    </row>
    <row r="31" spans="1:1" x14ac:dyDescent="0.25">
      <c r="A31" t="s">
        <v>43</v>
      </c>
    </row>
    <row r="32" spans="1:1" x14ac:dyDescent="0.25">
      <c r="A32" t="s">
        <v>44</v>
      </c>
    </row>
    <row r="33" spans="1:1" x14ac:dyDescent="0.25">
      <c r="A33" t="s">
        <v>45</v>
      </c>
    </row>
    <row r="35" spans="1:1" x14ac:dyDescent="0.25">
      <c r="A35" s="2" t="s">
        <v>46</v>
      </c>
    </row>
    <row r="36" spans="1:1" x14ac:dyDescent="0.25">
      <c r="A36" s="2" t="s">
        <v>47</v>
      </c>
    </row>
    <row r="38" spans="1:4" x14ac:dyDescent="0.25">
      <c r="A38" s="3" t="s">
        <v>48</v>
      </c>
      <c r="B38" s="4"/>
      <c r="C38" s="4"/>
      <c r="D38" s="4"/>
    </row>
    <row r="39" spans="1:2" x14ac:dyDescent="0.25">
      <c r="A39" s="5" t="s">
        <v>49</v>
      </c>
      <c r="B39" t="s">
        <v>50</v>
      </c>
    </row>
    <row r="40" spans="1:2" x14ac:dyDescent="0.25">
      <c r="A40" s="5" t="s">
        <v>51</v>
      </c>
      <c r="B40" t="s">
        <v>52</v>
      </c>
    </row>
    <row r="41" spans="1:2" x14ac:dyDescent="0.25">
      <c r="A41" s="5" t="s">
        <v>53</v>
      </c>
      <c r="B41" t="s">
        <v>54</v>
      </c>
    </row>
    <row r="42" spans="1:2" x14ac:dyDescent="0.25">
      <c r="A42" s="5" t="s">
        <v>55</v>
      </c>
      <c r="B42" t="s">
        <v>56</v>
      </c>
    </row>
    <row r="43" spans="1:2" x14ac:dyDescent="0.25">
      <c r="A43" s="5" t="s">
        <v>57</v>
      </c>
      <c r="B43" t="s">
        <v>58</v>
      </c>
    </row>
    <row r="44" spans="1:2" x14ac:dyDescent="0.25">
      <c r="A44" s="5" t="s">
        <v>59</v>
      </c>
      <c r="B44" t="s">
        <v>60</v>
      </c>
    </row>
    <row r="45" spans="1:2" x14ac:dyDescent="0.25">
      <c r="A45" s="5" t="s">
        <v>61</v>
      </c>
      <c r="B45" t="s">
        <v>62</v>
      </c>
    </row>
    <row r="46" spans="1:2" x14ac:dyDescent="0.25">
      <c r="A46" s="5" t="s">
        <v>63</v>
      </c>
      <c r="B46" t="s">
        <v>64</v>
      </c>
    </row>
    <row r="47" spans="1:2" x14ac:dyDescent="0.25">
      <c r="A47" s="5" t="s">
        <v>65</v>
      </c>
      <c r="B47" t="s">
        <v>66</v>
      </c>
    </row>
    <row r="48" spans="1:2" x14ac:dyDescent="0.25">
      <c r="A48" s="5" t="s">
        <v>67</v>
      </c>
      <c r="B48" t="s">
        <v>68</v>
      </c>
    </row>
    <row r="49" spans="1:2" x14ac:dyDescent="0.25">
      <c r="A49" s="5" t="s">
        <v>69</v>
      </c>
      <c r="B49" t="s">
        <v>70</v>
      </c>
    </row>
    <row r="50" spans="1:2" x14ac:dyDescent="0.25">
      <c r="A50" s="5" t="s">
        <v>71</v>
      </c>
      <c r="B50" t="s">
        <v>72</v>
      </c>
    </row>
    <row r="51" spans="1:2" x14ac:dyDescent="0.25">
      <c r="A51" s="5" t="s">
        <v>6</v>
      </c>
      <c r="B51" t="s">
        <v>73</v>
      </c>
    </row>
    <row r="52" spans="1:2" x14ac:dyDescent="0.25">
      <c r="A52" s="5" t="s">
        <v>74</v>
      </c>
      <c r="B52" t="s">
        <v>75</v>
      </c>
    </row>
    <row r="53" spans="1:2" x14ac:dyDescent="0.25">
      <c r="A53" s="5" t="s">
        <v>76</v>
      </c>
      <c r="B53" t="s">
        <v>77</v>
      </c>
    </row>
    <row r="54" spans="1:2" x14ac:dyDescent="0.25">
      <c r="A54" s="5" t="s">
        <v>78</v>
      </c>
      <c r="B54" t="s">
        <v>79</v>
      </c>
    </row>
    <row r="55" spans="1:2" x14ac:dyDescent="0.25">
      <c r="A55" s="5" t="s">
        <v>80</v>
      </c>
      <c r="B55" t="s">
        <v>81</v>
      </c>
    </row>
    <row r="56" spans="1:2" x14ac:dyDescent="0.25">
      <c r="A56" s="5" t="s">
        <v>82</v>
      </c>
      <c r="B56" t="s">
        <v>83</v>
      </c>
    </row>
    <row r="57" spans="1:2" x14ac:dyDescent="0.25">
      <c r="A57" s="5" t="s">
        <v>84</v>
      </c>
      <c r="B57" t="s">
        <v>85</v>
      </c>
    </row>
  </sheetData>
  <mergeCells count="1">
    <mergeCell ref="B11:H11"/>
  </mergeCells>
  <pageMargins left="0.7" right="0.7" top="0.75" bottom="0.75" header="0.3" footer="0.3"/>
  <pageSetup orientation="portrait" horizontalDpi="4294967295" verticalDpi="4294967295" scale="100" fitToWidth="1" fitToHeight="1"/>
  <drawing r:id="rIdDrawing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9" width="13" customWidth="1"/>
  </cols>
  <sheetData>
    <row r="1" spans="1:1" x14ac:dyDescent="0.25">
      <c r="A1" s="1" t="s">
        <v>86</v>
      </c>
    </row>
    <row r="2" spans="1:1" x14ac:dyDescent="0.25">
      <c r="A2" s="2" t="s">
        <v>87</v>
      </c>
    </row>
    <row r="3" spans="1:1" x14ac:dyDescent="0.25">
      <c r="A3" s="2" t="s">
        <v>88</v>
      </c>
    </row>
    <row r="4" spans="1:9" x14ac:dyDescent="0.25">
      <c r="A4" s="9"/>
      <c r="B4" s="10" t="s">
        <v>14</v>
      </c>
      <c r="C4" s="10" t="s">
        <v>15</v>
      </c>
      <c r="D4" s="10" t="s">
        <v>16</v>
      </c>
      <c r="E4" s="10" t="s">
        <v>17</v>
      </c>
      <c r="F4" s="10" t="s">
        <v>18</v>
      </c>
      <c r="G4" s="10" t="s">
        <v>19</v>
      </c>
      <c r="H4" s="10" t="s">
        <v>20</v>
      </c>
      <c r="I4" s="10" t="s">
        <v>21</v>
      </c>
    </row>
    <row r="5" spans="1:9" x14ac:dyDescent="0.25">
      <c r="A5" s="5" t="s">
        <v>22</v>
      </c>
      <c r="B5" s="19">
        <v>48319.6</v>
      </c>
      <c r="C5" s="19">
        <v>61204.9</v>
      </c>
      <c r="D5" s="19">
        <v>72783.1</v>
      </c>
      <c r="E5" s="20" t="s">
        <v>24</v>
      </c>
      <c r="F5" s="20" t="s">
        <v>24</v>
      </c>
      <c r="G5" s="20" t="s">
        <v>24</v>
      </c>
      <c r="H5" s="20" t="s">
        <v>24</v>
      </c>
      <c r="I5" s="20" t="s">
        <v>24</v>
      </c>
    </row>
    <row r="6" spans="1:9" x14ac:dyDescent="0.25">
      <c r="A6" t="s">
        <v>89</v>
      </c>
      <c r="B6" s="21" t="s">
        <v>24</v>
      </c>
      <c r="C6" s="22">
        <f>C5/B5-1</f>
        <v>0.2666681843392744</v>
      </c>
      <c r="D6" s="22">
        <f>D5/C5-1</f>
        <v>0.1891711284554014</v>
      </c>
      <c r="E6" s="23" t="s">
        <v>24</v>
      </c>
      <c r="F6" s="23" t="s">
        <v>24</v>
      </c>
      <c r="G6" s="23" t="s">
        <v>24</v>
      </c>
      <c r="H6" s="23" t="s">
        <v>24</v>
      </c>
      <c r="I6" s="23" t="s">
        <v>24</v>
      </c>
    </row>
    <row r="7" spans="1:9" x14ac:dyDescent="0.25">
      <c r="A7" t="s">
        <v>90</v>
      </c>
      <c r="B7" s="21" t="s">
        <v>24</v>
      </c>
      <c r="C7" s="21" t="s">
        <v>24</v>
      </c>
      <c r="D7" s="21" t="s">
        <v>24</v>
      </c>
      <c r="E7" s="23" t="s">
        <v>24</v>
      </c>
      <c r="F7" s="23" t="s">
        <v>24</v>
      </c>
      <c r="G7" s="23" t="s">
        <v>24</v>
      </c>
      <c r="H7" s="23" t="s">
        <v>24</v>
      </c>
      <c r="I7" s="23" t="s">
        <v>24</v>
      </c>
    </row>
    <row r="8" spans="1:9" x14ac:dyDescent="0.25">
      <c r="A8" t="s">
        <v>91</v>
      </c>
      <c r="B8" s="21" t="s">
        <v>24</v>
      </c>
      <c r="C8" s="21" t="s">
        <v>24</v>
      </c>
      <c r="D8" s="21" t="s">
        <v>24</v>
      </c>
      <c r="E8" s="23" t="s">
        <v>24</v>
      </c>
      <c r="F8" s="23" t="s">
        <v>24</v>
      </c>
      <c r="G8" s="23" t="s">
        <v>24</v>
      </c>
      <c r="H8" s="23" t="s">
        <v>24</v>
      </c>
      <c r="I8" s="23" t="s">
        <v>24</v>
      </c>
    </row>
    <row r="9" spans="1:9" x14ac:dyDescent="0.25">
      <c r="A9" t="s">
        <v>92</v>
      </c>
      <c r="B9" s="21" t="s">
        <v>24</v>
      </c>
      <c r="C9" s="21" t="s">
        <v>24</v>
      </c>
      <c r="D9" s="21" t="s">
        <v>24</v>
      </c>
      <c r="E9" s="23" t="s">
        <v>24</v>
      </c>
      <c r="F9" s="23" t="s">
        <v>24</v>
      </c>
      <c r="G9" s="23" t="s">
        <v>24</v>
      </c>
      <c r="H9" s="23" t="s">
        <v>24</v>
      </c>
      <c r="I9" s="23" t="s">
        <v>24</v>
      </c>
    </row>
    <row r="10" spans="1:9" x14ac:dyDescent="0.25">
      <c r="A10" s="5" t="s">
        <v>93</v>
      </c>
      <c r="B10" s="24" t="s">
        <v>24</v>
      </c>
      <c r="C10" s="24" t="s">
        <v>24</v>
      </c>
      <c r="D10" s="24" t="s">
        <v>24</v>
      </c>
      <c r="E10" s="20" t="s">
        <v>24</v>
      </c>
      <c r="F10" s="20" t="s">
        <v>24</v>
      </c>
      <c r="G10" s="20" t="s">
        <v>24</v>
      </c>
      <c r="H10" s="20" t="s">
        <v>24</v>
      </c>
      <c r="I10" s="20" t="s">
        <v>24</v>
      </c>
    </row>
    <row r="11" spans="1:9" x14ac:dyDescent="0.25">
      <c r="A11" t="s">
        <v>94</v>
      </c>
      <c r="B11" s="21" t="s">
        <v>24</v>
      </c>
      <c r="C11" s="21" t="s">
        <v>24</v>
      </c>
      <c r="D11" s="21" t="s">
        <v>24</v>
      </c>
      <c r="E11" s="23" t="s">
        <v>24</v>
      </c>
      <c r="F11" s="23" t="s">
        <v>24</v>
      </c>
      <c r="G11" s="23" t="s">
        <v>24</v>
      </c>
      <c r="H11" s="23" t="s">
        <v>24</v>
      </c>
      <c r="I11" s="23" t="s">
        <v>24</v>
      </c>
    </row>
    <row r="12" spans="1:9" x14ac:dyDescent="0.25">
      <c r="A12" t="s">
        <v>95</v>
      </c>
      <c r="B12" s="21" t="s">
        <v>24</v>
      </c>
      <c r="C12" s="21" t="s">
        <v>24</v>
      </c>
      <c r="D12" s="21" t="s">
        <v>24</v>
      </c>
      <c r="E12" s="23" t="s">
        <v>24</v>
      </c>
      <c r="F12" s="23" t="s">
        <v>24</v>
      </c>
      <c r="G12" s="23" t="s">
        <v>24</v>
      </c>
      <c r="H12" s="23" t="s">
        <v>24</v>
      </c>
      <c r="I12" s="23" t="s">
        <v>24</v>
      </c>
    </row>
    <row r="13" spans="1:9" x14ac:dyDescent="0.25">
      <c r="A13" s="5" t="s">
        <v>96</v>
      </c>
      <c r="B13" s="24" t="s">
        <v>24</v>
      </c>
      <c r="C13" s="24" t="s">
        <v>24</v>
      </c>
      <c r="D13" s="24" t="s">
        <v>24</v>
      </c>
      <c r="E13" s="20" t="s">
        <v>24</v>
      </c>
      <c r="F13" s="20" t="s">
        <v>24</v>
      </c>
      <c r="G13" s="20" t="s">
        <v>24</v>
      </c>
      <c r="H13" s="20" t="s">
        <v>24</v>
      </c>
      <c r="I13" s="20" t="s">
        <v>24</v>
      </c>
    </row>
    <row r="14" spans="1:9" x14ac:dyDescent="0.25">
      <c r="A14" t="s">
        <v>97</v>
      </c>
      <c r="B14" s="21" t="s">
        <v>24</v>
      </c>
      <c r="C14" s="21" t="s">
        <v>24</v>
      </c>
      <c r="D14" s="21" t="s">
        <v>24</v>
      </c>
      <c r="E14" s="23" t="s">
        <v>24</v>
      </c>
      <c r="F14" s="23" t="s">
        <v>24</v>
      </c>
      <c r="G14" s="23" t="s">
        <v>24</v>
      </c>
      <c r="H14" s="23" t="s">
        <v>24</v>
      </c>
      <c r="I14" s="23" t="s">
        <v>24</v>
      </c>
    </row>
    <row r="15" spans="1:9" x14ac:dyDescent="0.25">
      <c r="A15" t="s">
        <v>98</v>
      </c>
      <c r="B15" s="25">
        <v>48306.6</v>
      </c>
      <c r="C15" s="25">
        <v>61163.6</v>
      </c>
      <c r="D15" s="25">
        <v>72776</v>
      </c>
      <c r="E15" s="23" t="s">
        <v>24</v>
      </c>
      <c r="F15" s="23" t="s">
        <v>24</v>
      </c>
      <c r="G15" s="23" t="s">
        <v>24</v>
      </c>
      <c r="H15" s="23" t="s">
        <v>24</v>
      </c>
      <c r="I15" s="23" t="s">
        <v>24</v>
      </c>
    </row>
    <row r="16" spans="1:9" x14ac:dyDescent="0.25">
      <c r="A16" t="s">
        <v>99</v>
      </c>
      <c r="B16" s="25">
        <v>18724.7</v>
      </c>
      <c r="C16" s="25">
        <v>24770.8</v>
      </c>
      <c r="D16" s="25">
        <v>28666</v>
      </c>
      <c r="E16" s="23" t="s">
        <v>24</v>
      </c>
      <c r="F16" s="23" t="s">
        <v>24</v>
      </c>
      <c r="G16" s="23" t="s">
        <v>24</v>
      </c>
      <c r="H16" s="23" t="s">
        <v>24</v>
      </c>
      <c r="I16" s="23" t="s">
        <v>24</v>
      </c>
    </row>
    <row r="17" spans="1:9" x14ac:dyDescent="0.25">
      <c r="A17" t="s">
        <v>100</v>
      </c>
      <c r="B17" s="21" t="s">
        <v>24</v>
      </c>
      <c r="C17" s="21" t="s">
        <v>24</v>
      </c>
      <c r="D17" s="21" t="s">
        <v>24</v>
      </c>
      <c r="E17" s="23" t="s">
        <v>24</v>
      </c>
      <c r="F17" s="23" t="s">
        <v>24</v>
      </c>
      <c r="G17" s="23" t="s">
        <v>24</v>
      </c>
      <c r="H17" s="23" t="s">
        <v>24</v>
      </c>
      <c r="I17" s="23" t="s">
        <v>24</v>
      </c>
    </row>
    <row r="18" spans="1:9" x14ac:dyDescent="0.25">
      <c r="A18" s="5" t="s">
        <v>101</v>
      </c>
      <c r="B18" s="19">
        <v>19301.9</v>
      </c>
      <c r="C18" s="19">
        <v>22061.8</v>
      </c>
      <c r="D18" s="19">
        <v>25800.2</v>
      </c>
      <c r="E18" s="20" t="s">
        <v>24</v>
      </c>
      <c r="F18" s="20" t="s">
        <v>24</v>
      </c>
      <c r="G18" s="20" t="s">
        <v>24</v>
      </c>
      <c r="H18" s="20" t="s">
        <v>24</v>
      </c>
      <c r="I18" s="20" t="s">
        <v>24</v>
      </c>
    </row>
    <row r="19" spans="1:9" x14ac:dyDescent="0.25">
      <c r="A19" t="s">
        <v>102</v>
      </c>
      <c r="B19" s="25">
        <v>4858.4</v>
      </c>
      <c r="C19" s="25">
        <v>5300.2</v>
      </c>
      <c r="D19" s="25">
        <v>6484.3</v>
      </c>
      <c r="E19" s="23" t="s">
        <v>24</v>
      </c>
      <c r="F19" s="23" t="s">
        <v>24</v>
      </c>
      <c r="G19" s="23" t="s">
        <v>24</v>
      </c>
      <c r="H19" s="23" t="s">
        <v>24</v>
      </c>
      <c r="I19" s="23" t="s">
        <v>24</v>
      </c>
    </row>
    <row r="20" spans="1:9" x14ac:dyDescent="0.25">
      <c r="A20" s="5" t="s">
        <v>103</v>
      </c>
      <c r="B20" s="19">
        <v>14451.2</v>
      </c>
      <c r="C20" s="19">
        <v>16637.8</v>
      </c>
      <c r="D20" s="19">
        <v>19017.4</v>
      </c>
      <c r="E20" s="20" t="s">
        <v>24</v>
      </c>
      <c r="F20" s="20" t="s">
        <v>24</v>
      </c>
      <c r="G20" s="20" t="s">
        <v>24</v>
      </c>
      <c r="H20" s="20" t="s">
        <v>24</v>
      </c>
      <c r="I20" s="20" t="s">
        <v>24</v>
      </c>
    </row>
    <row r="21" spans="1:9" x14ac:dyDescent="0.25">
      <c r="A21" t="s">
        <v>104</v>
      </c>
      <c r="B21" s="22">
        <f>B20/B5</f>
        <v>0.2990753234712208</v>
      </c>
      <c r="C21" s="22">
        <f>C20/C5</f>
        <v>0.271837712340025</v>
      </c>
      <c r="D21" s="22">
        <f>D20/D5</f>
        <v>0.2612886782783366</v>
      </c>
      <c r="E21" s="23" t="s">
        <v>24</v>
      </c>
      <c r="F21" s="23" t="s">
        <v>24</v>
      </c>
      <c r="G21" s="23" t="s">
        <v>24</v>
      </c>
      <c r="H21" s="23" t="s">
        <v>24</v>
      </c>
      <c r="I21" s="23" t="s">
        <v>24</v>
      </c>
    </row>
    <row r="22" spans="1:9" x14ac:dyDescent="0.25">
      <c r="A22" t="s">
        <v>105</v>
      </c>
      <c r="B22" s="21" t="s">
        <v>24</v>
      </c>
      <c r="C22" s="21" t="s">
        <v>24</v>
      </c>
      <c r="D22" s="21" t="s">
        <v>24</v>
      </c>
      <c r="E22" s="23" t="s">
        <v>24</v>
      </c>
      <c r="F22" s="23" t="s">
        <v>24</v>
      </c>
      <c r="G22" s="23" t="s">
        <v>24</v>
      </c>
      <c r="H22" s="23" t="s">
        <v>24</v>
      </c>
      <c r="I22" s="23" t="s">
        <v>24</v>
      </c>
    </row>
    <row r="23" spans="1:9" x14ac:dyDescent="0.25">
      <c r="A23" s="5" t="s">
        <v>106</v>
      </c>
      <c r="B23" s="24" t="s">
        <v>24</v>
      </c>
      <c r="C23" s="24" t="s">
        <v>24</v>
      </c>
      <c r="D23" s="24" t="s">
        <v>24</v>
      </c>
      <c r="E23" s="20" t="s">
        <v>24</v>
      </c>
      <c r="F23" s="20" t="s">
        <v>24</v>
      </c>
      <c r="G23" s="20" t="s">
        <v>24</v>
      </c>
      <c r="H23" s="20" t="s">
        <v>24</v>
      </c>
      <c r="I23" s="20" t="s">
        <v>24</v>
      </c>
    </row>
    <row r="24" spans="1:9" x14ac:dyDescent="0.25">
      <c r="A24" t="s">
        <v>107</v>
      </c>
      <c r="B24" s="26">
        <v>61.8</v>
      </c>
      <c r="C24" s="26">
        <v>61.8</v>
      </c>
      <c r="D24" s="26">
        <v>61.8</v>
      </c>
      <c r="E24" s="23" t="s">
        <v>24</v>
      </c>
      <c r="F24" s="23" t="s">
        <v>24</v>
      </c>
      <c r="G24" s="23" t="s">
        <v>24</v>
      </c>
      <c r="H24" s="23" t="s">
        <v>24</v>
      </c>
      <c r="I24" s="23" t="s">
        <v>24</v>
      </c>
    </row>
    <row r="25" spans="1:9" x14ac:dyDescent="0.25">
      <c r="A25" s="5" t="s">
        <v>28</v>
      </c>
      <c r="B25" s="24" t="s">
        <v>24</v>
      </c>
      <c r="C25" s="24" t="s">
        <v>24</v>
      </c>
      <c r="D25" s="24" t="s">
        <v>24</v>
      </c>
      <c r="E25" s="20" t="s">
        <v>24</v>
      </c>
      <c r="F25" s="20" t="s">
        <v>24</v>
      </c>
      <c r="G25" s="20" t="s">
        <v>24</v>
      </c>
      <c r="H25" s="20" t="s">
        <v>24</v>
      </c>
      <c r="I25" s="20" t="s">
        <v>24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9" width="13" customWidth="1"/>
  </cols>
  <sheetData>
    <row r="1" spans="1:1" x14ac:dyDescent="0.25">
      <c r="A1" s="1" t="s">
        <v>108</v>
      </c>
    </row>
    <row r="2" spans="1:1" x14ac:dyDescent="0.25">
      <c r="A2" s="2" t="s">
        <v>109</v>
      </c>
    </row>
    <row r="3" spans="1:1" x14ac:dyDescent="0.25">
      <c r="A3" s="2" t="s">
        <v>88</v>
      </c>
    </row>
    <row r="4" spans="1:9" x14ac:dyDescent="0.25">
      <c r="A4" s="9"/>
      <c r="B4" s="10" t="s">
        <v>14</v>
      </c>
      <c r="C4" s="10" t="s">
        <v>15</v>
      </c>
      <c r="D4" s="10" t="s">
        <v>16</v>
      </c>
      <c r="E4" s="10" t="s">
        <v>17</v>
      </c>
      <c r="F4" s="10" t="s">
        <v>18</v>
      </c>
      <c r="G4" s="10" t="s">
        <v>19</v>
      </c>
      <c r="H4" s="10" t="s">
        <v>20</v>
      </c>
      <c r="I4" s="10" t="s">
        <v>21</v>
      </c>
    </row>
    <row r="5" spans="1:9" x14ac:dyDescent="0.25">
      <c r="A5" s="3" t="s">
        <v>110</v>
      </c>
      <c r="B5" s="4"/>
      <c r="C5" s="4"/>
      <c r="D5" s="4"/>
      <c r="E5" s="4"/>
      <c r="F5" s="4"/>
      <c r="G5" s="4"/>
      <c r="H5" s="4"/>
      <c r="I5" s="4"/>
    </row>
    <row r="6" spans="1:9" x14ac:dyDescent="0.25">
      <c r="A6" t="s">
        <v>111</v>
      </c>
      <c r="B6" s="21" t="s">
        <v>24</v>
      </c>
      <c r="C6" s="21" t="s">
        <v>24</v>
      </c>
      <c r="D6" s="21" t="s">
        <v>24</v>
      </c>
      <c r="E6" s="23" t="s">
        <v>24</v>
      </c>
      <c r="F6" s="23" t="s">
        <v>24</v>
      </c>
      <c r="G6" s="23" t="s">
        <v>24</v>
      </c>
      <c r="H6" s="23" t="s">
        <v>24</v>
      </c>
      <c r="I6" s="23" t="s">
        <v>24</v>
      </c>
    </row>
    <row r="7" spans="1:9" x14ac:dyDescent="0.25">
      <c r="A7" t="s">
        <v>112</v>
      </c>
      <c r="B7" s="21" t="s">
        <v>24</v>
      </c>
      <c r="C7" s="21" t="s">
        <v>24</v>
      </c>
      <c r="D7" s="21" t="s">
        <v>24</v>
      </c>
      <c r="E7" s="23" t="s">
        <v>24</v>
      </c>
      <c r="F7" s="23" t="s">
        <v>24</v>
      </c>
      <c r="G7" s="23" t="s">
        <v>24</v>
      </c>
      <c r="H7" s="23" t="s">
        <v>24</v>
      </c>
      <c r="I7" s="23" t="s">
        <v>24</v>
      </c>
    </row>
    <row r="8" spans="1:9" x14ac:dyDescent="0.25">
      <c r="A8" t="s">
        <v>113</v>
      </c>
      <c r="B8" s="21" t="s">
        <v>24</v>
      </c>
      <c r="C8" s="21" t="s">
        <v>24</v>
      </c>
      <c r="D8" s="21" t="s">
        <v>24</v>
      </c>
      <c r="E8" s="23" t="s">
        <v>24</v>
      </c>
      <c r="F8" s="23" t="s">
        <v>24</v>
      </c>
      <c r="G8" s="23" t="s">
        <v>24</v>
      </c>
      <c r="H8" s="23" t="s">
        <v>24</v>
      </c>
      <c r="I8" s="23" t="s">
        <v>24</v>
      </c>
    </row>
    <row r="9" spans="1:9" x14ac:dyDescent="0.25">
      <c r="A9" t="s">
        <v>114</v>
      </c>
      <c r="B9" s="21" t="s">
        <v>24</v>
      </c>
      <c r="C9" s="21" t="s">
        <v>24</v>
      </c>
      <c r="D9" s="21" t="s">
        <v>24</v>
      </c>
      <c r="E9" s="23" t="s">
        <v>24</v>
      </c>
      <c r="F9" s="23" t="s">
        <v>24</v>
      </c>
      <c r="G9" s="23" t="s">
        <v>24</v>
      </c>
      <c r="H9" s="23" t="s">
        <v>24</v>
      </c>
      <c r="I9" s="23" t="s">
        <v>24</v>
      </c>
    </row>
    <row r="10" spans="1:9" x14ac:dyDescent="0.25">
      <c r="A10" t="s">
        <v>115</v>
      </c>
      <c r="B10" s="21" t="s">
        <v>24</v>
      </c>
      <c r="C10" s="21" t="s">
        <v>24</v>
      </c>
      <c r="D10" s="21" t="s">
        <v>24</v>
      </c>
      <c r="E10" s="23" t="s">
        <v>24</v>
      </c>
      <c r="F10" s="23" t="s">
        <v>24</v>
      </c>
      <c r="G10" s="23" t="s">
        <v>24</v>
      </c>
      <c r="H10" s="23" t="s">
        <v>24</v>
      </c>
      <c r="I10" s="23" t="s">
        <v>24</v>
      </c>
    </row>
    <row r="11" spans="1:9" x14ac:dyDescent="0.25">
      <c r="A11" s="5" t="s">
        <v>116</v>
      </c>
      <c r="B11" s="24" t="s">
        <v>24</v>
      </c>
      <c r="C11" s="24" t="s">
        <v>24</v>
      </c>
      <c r="D11" s="24" t="s">
        <v>24</v>
      </c>
      <c r="E11" s="20" t="s">
        <v>24</v>
      </c>
      <c r="F11" s="20" t="s">
        <v>24</v>
      </c>
      <c r="G11" s="20" t="s">
        <v>24</v>
      </c>
      <c r="H11" s="20" t="s">
        <v>24</v>
      </c>
      <c r="I11" s="20" t="s">
        <v>24</v>
      </c>
    </row>
    <row r="12" spans="1:9" x14ac:dyDescent="0.25">
      <c r="A12" s="3" t="s">
        <v>117</v>
      </c>
      <c r="B12" s="4"/>
      <c r="C12" s="4"/>
      <c r="D12" s="4"/>
      <c r="E12" s="4"/>
      <c r="F12" s="4"/>
      <c r="G12" s="4"/>
      <c r="H12" s="4"/>
      <c r="I12" s="4"/>
    </row>
    <row r="13" spans="1:9" x14ac:dyDescent="0.25">
      <c r="A13" t="s">
        <v>118</v>
      </c>
      <c r="B13" s="21" t="s">
        <v>24</v>
      </c>
      <c r="C13" s="21" t="s">
        <v>24</v>
      </c>
      <c r="D13" s="21" t="s">
        <v>24</v>
      </c>
      <c r="E13" s="23" t="s">
        <v>24</v>
      </c>
      <c r="F13" s="23" t="s">
        <v>24</v>
      </c>
      <c r="G13" s="23" t="s">
        <v>24</v>
      </c>
      <c r="H13" s="23" t="s">
        <v>24</v>
      </c>
      <c r="I13" s="23" t="s">
        <v>24</v>
      </c>
    </row>
    <row r="14" spans="1:9" x14ac:dyDescent="0.25">
      <c r="A14" t="s">
        <v>119</v>
      </c>
      <c r="B14" s="21" t="s">
        <v>24</v>
      </c>
      <c r="C14" s="21" t="s">
        <v>24</v>
      </c>
      <c r="D14" s="21" t="s">
        <v>24</v>
      </c>
      <c r="E14" s="23" t="s">
        <v>24</v>
      </c>
      <c r="F14" s="23" t="s">
        <v>24</v>
      </c>
      <c r="G14" s="23" t="s">
        <v>24</v>
      </c>
      <c r="H14" s="23" t="s">
        <v>24</v>
      </c>
      <c r="I14" s="23" t="s">
        <v>24</v>
      </c>
    </row>
    <row r="15" spans="1:9" x14ac:dyDescent="0.25">
      <c r="A15" t="s">
        <v>120</v>
      </c>
      <c r="B15" s="21" t="s">
        <v>24</v>
      </c>
      <c r="C15" s="21" t="s">
        <v>24</v>
      </c>
      <c r="D15" s="21" t="s">
        <v>24</v>
      </c>
      <c r="E15" s="23" t="s">
        <v>24</v>
      </c>
      <c r="F15" s="23" t="s">
        <v>24</v>
      </c>
      <c r="G15" s="23" t="s">
        <v>24</v>
      </c>
      <c r="H15" s="23" t="s">
        <v>24</v>
      </c>
      <c r="I15" s="23" t="s">
        <v>24</v>
      </c>
    </row>
    <row r="16" spans="1:9" x14ac:dyDescent="0.25">
      <c r="A16" t="s">
        <v>121</v>
      </c>
      <c r="B16" s="21" t="s">
        <v>24</v>
      </c>
      <c r="C16" s="21" t="s">
        <v>24</v>
      </c>
      <c r="D16" s="21" t="s">
        <v>24</v>
      </c>
      <c r="E16" s="23" t="s">
        <v>24</v>
      </c>
      <c r="F16" s="23" t="s">
        <v>24</v>
      </c>
      <c r="G16" s="23" t="s">
        <v>24</v>
      </c>
      <c r="H16" s="23" t="s">
        <v>24</v>
      </c>
      <c r="I16" s="23" t="s">
        <v>24</v>
      </c>
    </row>
    <row r="17" spans="1:9" x14ac:dyDescent="0.25">
      <c r="A17" s="5" t="s">
        <v>122</v>
      </c>
      <c r="B17" s="24" t="s">
        <v>24</v>
      </c>
      <c r="C17" s="24" t="s">
        <v>24</v>
      </c>
      <c r="D17" s="24" t="s">
        <v>24</v>
      </c>
      <c r="E17" s="20" t="s">
        <v>24</v>
      </c>
      <c r="F17" s="20" t="s">
        <v>24</v>
      </c>
      <c r="G17" s="20" t="s">
        <v>24</v>
      </c>
      <c r="H17" s="20" t="s">
        <v>24</v>
      </c>
      <c r="I17" s="20" t="s">
        <v>24</v>
      </c>
    </row>
    <row r="18" spans="1:9" x14ac:dyDescent="0.25">
      <c r="A18" s="5" t="s">
        <v>123</v>
      </c>
      <c r="B18" s="19">
        <v>375741.6</v>
      </c>
      <c r="C18" s="19">
        <v>466126.8</v>
      </c>
      <c r="D18" s="19">
        <v>559952.4</v>
      </c>
      <c r="E18" s="20" t="s">
        <v>24</v>
      </c>
      <c r="F18" s="20" t="s">
        <v>24</v>
      </c>
      <c r="G18" s="20" t="s">
        <v>24</v>
      </c>
      <c r="H18" s="20" t="s">
        <v>24</v>
      </c>
      <c r="I18" s="20" t="s">
        <v>24</v>
      </c>
    </row>
    <row r="19" spans="1:9" x14ac:dyDescent="0.25">
      <c r="A19" s="3" t="s">
        <v>124</v>
      </c>
      <c r="B19" s="4"/>
      <c r="C19" s="4"/>
      <c r="D19" s="4"/>
      <c r="E19" s="4"/>
      <c r="F19" s="4"/>
      <c r="G19" s="4"/>
      <c r="H19" s="4"/>
      <c r="I19" s="4"/>
    </row>
    <row r="20" spans="1:9" x14ac:dyDescent="0.25">
      <c r="A20" t="s">
        <v>125</v>
      </c>
      <c r="B20" s="21" t="s">
        <v>24</v>
      </c>
      <c r="C20" s="21" t="s">
        <v>24</v>
      </c>
      <c r="D20" s="21" t="s">
        <v>24</v>
      </c>
      <c r="E20" s="23" t="s">
        <v>24</v>
      </c>
      <c r="F20" s="23" t="s">
        <v>24</v>
      </c>
      <c r="G20" s="23" t="s">
        <v>24</v>
      </c>
      <c r="H20" s="23" t="s">
        <v>24</v>
      </c>
      <c r="I20" s="23" t="s">
        <v>24</v>
      </c>
    </row>
    <row r="21" spans="1:9" x14ac:dyDescent="0.25">
      <c r="A21" t="s">
        <v>126</v>
      </c>
      <c r="B21" s="21" t="s">
        <v>24</v>
      </c>
      <c r="C21" s="21" t="s">
        <v>24</v>
      </c>
      <c r="D21" s="21" t="s">
        <v>24</v>
      </c>
      <c r="E21" s="23" t="s">
        <v>24</v>
      </c>
      <c r="F21" s="23" t="s">
        <v>24</v>
      </c>
      <c r="G21" s="23" t="s">
        <v>24</v>
      </c>
      <c r="H21" s="23" t="s">
        <v>24</v>
      </c>
      <c r="I21" s="23" t="s">
        <v>24</v>
      </c>
    </row>
    <row r="22" spans="1:9" x14ac:dyDescent="0.25">
      <c r="A22" t="s">
        <v>127</v>
      </c>
      <c r="B22" s="21" t="s">
        <v>24</v>
      </c>
      <c r="C22" s="21" t="s">
        <v>24</v>
      </c>
      <c r="D22" s="21" t="s">
        <v>24</v>
      </c>
      <c r="E22" s="23" t="s">
        <v>24</v>
      </c>
      <c r="F22" s="23" t="s">
        <v>24</v>
      </c>
      <c r="G22" s="23" t="s">
        <v>24</v>
      </c>
      <c r="H22" s="23" t="s">
        <v>24</v>
      </c>
      <c r="I22" s="23" t="s">
        <v>24</v>
      </c>
    </row>
    <row r="23" spans="1:9" x14ac:dyDescent="0.25">
      <c r="A23" s="5" t="s">
        <v>128</v>
      </c>
      <c r="B23" s="24" t="s">
        <v>24</v>
      </c>
      <c r="C23" s="24" t="s">
        <v>24</v>
      </c>
      <c r="D23" s="24" t="s">
        <v>24</v>
      </c>
      <c r="E23" s="20" t="s">
        <v>24</v>
      </c>
      <c r="F23" s="20" t="s">
        <v>24</v>
      </c>
      <c r="G23" s="20" t="s">
        <v>24</v>
      </c>
      <c r="H23" s="20" t="s">
        <v>24</v>
      </c>
      <c r="I23" s="20" t="s">
        <v>24</v>
      </c>
    </row>
    <row r="24" spans="1:9" x14ac:dyDescent="0.25">
      <c r="A24" s="3" t="s">
        <v>129</v>
      </c>
      <c r="B24" s="4"/>
      <c r="C24" s="4"/>
      <c r="D24" s="4"/>
      <c r="E24" s="4"/>
      <c r="F24" s="4"/>
      <c r="G24" s="4"/>
      <c r="H24" s="4"/>
      <c r="I24" s="4"/>
    </row>
    <row r="25" spans="1:9" x14ac:dyDescent="0.25">
      <c r="A25" t="s">
        <v>130</v>
      </c>
      <c r="B25" s="21" t="s">
        <v>24</v>
      </c>
      <c r="C25" s="21" t="s">
        <v>24</v>
      </c>
      <c r="D25" s="21" t="s">
        <v>24</v>
      </c>
      <c r="E25" s="23" t="s">
        <v>24</v>
      </c>
      <c r="F25" s="23" t="s">
        <v>24</v>
      </c>
      <c r="G25" s="23" t="s">
        <v>24</v>
      </c>
      <c r="H25" s="23" t="s">
        <v>24</v>
      </c>
      <c r="I25" s="23" t="s">
        <v>24</v>
      </c>
    </row>
    <row r="26" spans="1:9" x14ac:dyDescent="0.25">
      <c r="A26" t="s">
        <v>131</v>
      </c>
      <c r="B26" s="21" t="s">
        <v>24</v>
      </c>
      <c r="C26" s="21" t="s">
        <v>24</v>
      </c>
      <c r="D26" s="21" t="s">
        <v>24</v>
      </c>
      <c r="E26" s="23" t="s">
        <v>24</v>
      </c>
      <c r="F26" s="23" t="s">
        <v>24</v>
      </c>
      <c r="G26" s="23" t="s">
        <v>24</v>
      </c>
      <c r="H26" s="23" t="s">
        <v>24</v>
      </c>
      <c r="I26" s="23" t="s">
        <v>24</v>
      </c>
    </row>
    <row r="27" spans="1:9" x14ac:dyDescent="0.25">
      <c r="A27" t="s">
        <v>132</v>
      </c>
      <c r="B27" s="21" t="s">
        <v>24</v>
      </c>
      <c r="C27" s="21" t="s">
        <v>24</v>
      </c>
      <c r="D27" s="21" t="s">
        <v>24</v>
      </c>
      <c r="E27" s="23" t="s">
        <v>24</v>
      </c>
      <c r="F27" s="23" t="s">
        <v>24</v>
      </c>
      <c r="G27" s="23" t="s">
        <v>24</v>
      </c>
      <c r="H27" s="23" t="s">
        <v>24</v>
      </c>
      <c r="I27" s="23" t="s">
        <v>24</v>
      </c>
    </row>
    <row r="28" spans="1:9" x14ac:dyDescent="0.25">
      <c r="A28" t="s">
        <v>133</v>
      </c>
      <c r="B28" s="21" t="s">
        <v>24</v>
      </c>
      <c r="C28" s="21" t="s">
        <v>24</v>
      </c>
      <c r="D28" s="21" t="s">
        <v>24</v>
      </c>
      <c r="E28" s="23" t="s">
        <v>24</v>
      </c>
      <c r="F28" s="23" t="s">
        <v>24</v>
      </c>
      <c r="G28" s="23" t="s">
        <v>24</v>
      </c>
      <c r="H28" s="23" t="s">
        <v>24</v>
      </c>
      <c r="I28" s="23" t="s">
        <v>24</v>
      </c>
    </row>
    <row r="29" spans="1:9" x14ac:dyDescent="0.25">
      <c r="A29" s="5" t="s">
        <v>134</v>
      </c>
      <c r="B29" s="24" t="s">
        <v>24</v>
      </c>
      <c r="C29" s="24" t="s">
        <v>24</v>
      </c>
      <c r="D29" s="24" t="s">
        <v>24</v>
      </c>
      <c r="E29" s="20" t="s">
        <v>24</v>
      </c>
      <c r="F29" s="20" t="s">
        <v>24</v>
      </c>
      <c r="G29" s="20" t="s">
        <v>24</v>
      </c>
      <c r="H29" s="20" t="s">
        <v>24</v>
      </c>
      <c r="I29" s="20" t="s">
        <v>24</v>
      </c>
    </row>
    <row r="30" spans="1:9" x14ac:dyDescent="0.25">
      <c r="A30" s="5" t="s">
        <v>135</v>
      </c>
      <c r="B30" s="24" t="s">
        <v>24</v>
      </c>
      <c r="C30" s="24" t="s">
        <v>24</v>
      </c>
      <c r="D30" s="24" t="s">
        <v>24</v>
      </c>
      <c r="E30" s="20" t="s">
        <v>24</v>
      </c>
      <c r="F30" s="20" t="s">
        <v>24</v>
      </c>
      <c r="G30" s="20" t="s">
        <v>24</v>
      </c>
      <c r="H30" s="20" t="s">
        <v>24</v>
      </c>
      <c r="I30" s="20" t="s">
        <v>24</v>
      </c>
    </row>
    <row r="31" spans="1:9" x14ac:dyDescent="0.25">
      <c r="A31" s="3" t="s">
        <v>136</v>
      </c>
      <c r="B31" s="4"/>
      <c r="C31" s="4"/>
      <c r="D31" s="4"/>
      <c r="E31" s="4"/>
      <c r="F31" s="4"/>
      <c r="G31" s="4"/>
      <c r="H31" s="4"/>
      <c r="I31" s="4"/>
    </row>
    <row r="32" spans="1:9" x14ac:dyDescent="0.25">
      <c r="A32" t="s">
        <v>137</v>
      </c>
      <c r="B32" s="21" t="s">
        <v>24</v>
      </c>
      <c r="C32" s="21" t="s">
        <v>24</v>
      </c>
      <c r="D32" s="21" t="s">
        <v>24</v>
      </c>
      <c r="E32" s="23" t="s">
        <v>24</v>
      </c>
      <c r="F32" s="23" t="s">
        <v>24</v>
      </c>
      <c r="G32" s="23" t="s">
        <v>24</v>
      </c>
      <c r="H32" s="23" t="s">
        <v>24</v>
      </c>
      <c r="I32" s="23" t="s">
        <v>24</v>
      </c>
    </row>
    <row r="33" spans="1:9" x14ac:dyDescent="0.25">
      <c r="A33" t="s">
        <v>138</v>
      </c>
      <c r="B33" s="21" t="s">
        <v>24</v>
      </c>
      <c r="C33" s="21" t="s">
        <v>24</v>
      </c>
      <c r="D33" s="21" t="s">
        <v>24</v>
      </c>
      <c r="E33" s="23" t="s">
        <v>24</v>
      </c>
      <c r="F33" s="23" t="s">
        <v>24</v>
      </c>
      <c r="G33" s="23" t="s">
        <v>24</v>
      </c>
      <c r="H33" s="23" t="s">
        <v>24</v>
      </c>
      <c r="I33" s="23" t="s">
        <v>24</v>
      </c>
    </row>
    <row r="34" spans="1:9" x14ac:dyDescent="0.25">
      <c r="A34" t="s">
        <v>139</v>
      </c>
      <c r="B34" s="21" t="s">
        <v>24</v>
      </c>
      <c r="C34" s="21" t="s">
        <v>24</v>
      </c>
      <c r="D34" s="21" t="s">
        <v>24</v>
      </c>
      <c r="E34" s="23" t="s">
        <v>24</v>
      </c>
      <c r="F34" s="23" t="s">
        <v>24</v>
      </c>
      <c r="G34" s="23" t="s">
        <v>24</v>
      </c>
      <c r="H34" s="23" t="s">
        <v>24</v>
      </c>
      <c r="I34" s="23" t="s">
        <v>24</v>
      </c>
    </row>
    <row r="35" spans="1:9" x14ac:dyDescent="0.25">
      <c r="A35" t="s">
        <v>140</v>
      </c>
      <c r="B35" s="21" t="s">
        <v>24</v>
      </c>
      <c r="C35" s="21" t="s">
        <v>24</v>
      </c>
      <c r="D35" s="21" t="s">
        <v>24</v>
      </c>
      <c r="E35" s="23" t="s">
        <v>24</v>
      </c>
      <c r="F35" s="23" t="s">
        <v>24</v>
      </c>
      <c r="G35" s="23" t="s">
        <v>24</v>
      </c>
      <c r="H35" s="23" t="s">
        <v>24</v>
      </c>
      <c r="I35" s="23" t="s">
        <v>24</v>
      </c>
    </row>
    <row r="36" spans="1:9" x14ac:dyDescent="0.25">
      <c r="A36" s="5" t="s">
        <v>141</v>
      </c>
      <c r="B36" s="19">
        <v>76695.4</v>
      </c>
      <c r="C36" s="19">
        <v>96692.9</v>
      </c>
      <c r="D36" s="19">
        <v>113999</v>
      </c>
      <c r="E36" s="20" t="s">
        <v>24</v>
      </c>
      <c r="F36" s="20" t="s">
        <v>24</v>
      </c>
      <c r="G36" s="20" t="s">
        <v>24</v>
      </c>
      <c r="H36" s="20" t="s">
        <v>24</v>
      </c>
      <c r="I36" s="20" t="s">
        <v>24</v>
      </c>
    </row>
    <row r="37" spans="1:9" x14ac:dyDescent="0.25">
      <c r="A37" s="5" t="s">
        <v>142</v>
      </c>
      <c r="B37" s="24" t="s">
        <v>24</v>
      </c>
      <c r="C37" s="24" t="s">
        <v>24</v>
      </c>
      <c r="D37" s="24" t="s">
        <v>24</v>
      </c>
      <c r="E37" s="20" t="s">
        <v>24</v>
      </c>
      <c r="F37" s="20" t="s">
        <v>24</v>
      </c>
      <c r="G37" s="20" t="s">
        <v>24</v>
      </c>
      <c r="H37" s="20" t="s">
        <v>24</v>
      </c>
      <c r="I37" s="20" t="s">
        <v>24</v>
      </c>
    </row>
    <row r="38" spans="1:9" x14ac:dyDescent="0.25">
      <c r="A38" t="s">
        <v>143</v>
      </c>
      <c r="B38" s="21" t="s">
        <v>24</v>
      </c>
      <c r="C38" s="21" t="s">
        <v>24</v>
      </c>
      <c r="D38" s="21" t="s">
        <v>24</v>
      </c>
      <c r="E38" s="23" t="s">
        <v>24</v>
      </c>
      <c r="F38" s="23" t="s">
        <v>24</v>
      </c>
      <c r="G38" s="23" t="s">
        <v>24</v>
      </c>
      <c r="H38" s="23" t="s">
        <v>24</v>
      </c>
      <c r="I38" s="23" t="s">
        <v>24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9" width="13" customWidth="1"/>
  </cols>
  <sheetData>
    <row r="1" spans="1:1" x14ac:dyDescent="0.25">
      <c r="A1" s="1" t="s">
        <v>144</v>
      </c>
    </row>
    <row r="2" spans="1:1" x14ac:dyDescent="0.25">
      <c r="A2" s="2" t="s">
        <v>109</v>
      </c>
    </row>
    <row r="3" spans="1:1" x14ac:dyDescent="0.25">
      <c r="A3" s="2" t="s">
        <v>88</v>
      </c>
    </row>
    <row r="4" spans="1:9" x14ac:dyDescent="0.25">
      <c r="A4" s="9"/>
      <c r="B4" s="10" t="s">
        <v>14</v>
      </c>
      <c r="C4" s="10" t="s">
        <v>15</v>
      </c>
      <c r="D4" s="10" t="s">
        <v>16</v>
      </c>
      <c r="E4" s="10" t="s">
        <v>17</v>
      </c>
      <c r="F4" s="10" t="s">
        <v>18</v>
      </c>
      <c r="G4" s="10" t="s">
        <v>19</v>
      </c>
      <c r="H4" s="10" t="s">
        <v>20</v>
      </c>
      <c r="I4" s="10" t="s">
        <v>21</v>
      </c>
    </row>
    <row r="5" spans="1:9" x14ac:dyDescent="0.25">
      <c r="A5" s="3" t="s">
        <v>145</v>
      </c>
      <c r="B5" s="4"/>
      <c r="C5" s="4"/>
      <c r="D5" s="4"/>
      <c r="E5" s="4"/>
      <c r="F5" s="4"/>
      <c r="G5" s="4"/>
      <c r="H5" s="4"/>
      <c r="I5" s="4"/>
    </row>
    <row r="6" spans="1:9" x14ac:dyDescent="0.25">
      <c r="A6" t="s">
        <v>146</v>
      </c>
      <c r="B6" s="25">
        <v>14451.2</v>
      </c>
      <c r="C6" s="25">
        <v>16637.8</v>
      </c>
      <c r="D6" s="25">
        <v>19017.4</v>
      </c>
      <c r="E6" s="23" t="s">
        <v>24</v>
      </c>
      <c r="F6" s="23" t="s">
        <v>24</v>
      </c>
      <c r="G6" s="23" t="s">
        <v>24</v>
      </c>
      <c r="H6" s="23" t="s">
        <v>24</v>
      </c>
      <c r="I6" s="23" t="s">
        <v>24</v>
      </c>
    </row>
    <row r="7" spans="1:9" x14ac:dyDescent="0.25">
      <c r="A7" t="s">
        <v>95</v>
      </c>
      <c r="B7" s="21" t="s">
        <v>24</v>
      </c>
      <c r="C7" s="21" t="s">
        <v>24</v>
      </c>
      <c r="D7" s="21" t="s">
        <v>24</v>
      </c>
      <c r="E7" s="23" t="s">
        <v>24</v>
      </c>
      <c r="F7" s="23" t="s">
        <v>24</v>
      </c>
      <c r="G7" s="23" t="s">
        <v>24</v>
      </c>
      <c r="H7" s="23" t="s">
        <v>24</v>
      </c>
      <c r="I7" s="23" t="s">
        <v>24</v>
      </c>
    </row>
    <row r="8" spans="1:9" x14ac:dyDescent="0.25">
      <c r="A8" t="s">
        <v>147</v>
      </c>
      <c r="B8" s="21" t="s">
        <v>24</v>
      </c>
      <c r="C8" s="21" t="s">
        <v>24</v>
      </c>
      <c r="D8" s="21" t="s">
        <v>24</v>
      </c>
      <c r="E8" s="23" t="s">
        <v>24</v>
      </c>
      <c r="F8" s="23" t="s">
        <v>24</v>
      </c>
      <c r="G8" s="23" t="s">
        <v>24</v>
      </c>
      <c r="H8" s="23" t="s">
        <v>24</v>
      </c>
      <c r="I8" s="23" t="s">
        <v>24</v>
      </c>
    </row>
    <row r="9" spans="1:9" x14ac:dyDescent="0.25">
      <c r="A9" t="s">
        <v>148</v>
      </c>
      <c r="B9" s="21" t="s">
        <v>24</v>
      </c>
      <c r="C9" s="21" t="s">
        <v>24</v>
      </c>
      <c r="D9" s="21" t="s">
        <v>24</v>
      </c>
      <c r="E9" s="23" t="s">
        <v>24</v>
      </c>
      <c r="F9" s="23" t="s">
        <v>24</v>
      </c>
      <c r="G9" s="23" t="s">
        <v>24</v>
      </c>
      <c r="H9" s="23" t="s">
        <v>24</v>
      </c>
      <c r="I9" s="23" t="s">
        <v>24</v>
      </c>
    </row>
    <row r="10" spans="1:9" x14ac:dyDescent="0.25">
      <c r="A10" t="s">
        <v>149</v>
      </c>
      <c r="B10" s="21" t="s">
        <v>24</v>
      </c>
      <c r="C10" s="21" t="s">
        <v>24</v>
      </c>
      <c r="D10" s="21" t="s">
        <v>24</v>
      </c>
      <c r="E10" s="23" t="s">
        <v>24</v>
      </c>
      <c r="F10" s="23" t="s">
        <v>24</v>
      </c>
      <c r="G10" s="23" t="s">
        <v>24</v>
      </c>
      <c r="H10" s="23" t="s">
        <v>24</v>
      </c>
      <c r="I10" s="23" t="s">
        <v>24</v>
      </c>
    </row>
    <row r="11" spans="1:9" x14ac:dyDescent="0.25">
      <c r="A11" t="s">
        <v>150</v>
      </c>
      <c r="B11" s="21" t="s">
        <v>24</v>
      </c>
      <c r="C11" s="21" t="s">
        <v>24</v>
      </c>
      <c r="D11" s="21" t="s">
        <v>24</v>
      </c>
      <c r="E11" s="23" t="s">
        <v>24</v>
      </c>
      <c r="F11" s="23" t="s">
        <v>24</v>
      </c>
      <c r="G11" s="23" t="s">
        <v>24</v>
      </c>
      <c r="H11" s="23" t="s">
        <v>24</v>
      </c>
      <c r="I11" s="23" t="s">
        <v>24</v>
      </c>
    </row>
    <row r="12" spans="1:9" x14ac:dyDescent="0.25">
      <c r="A12" t="s">
        <v>151</v>
      </c>
      <c r="B12" s="21" t="s">
        <v>24</v>
      </c>
      <c r="C12" s="21" t="s">
        <v>24</v>
      </c>
      <c r="D12" s="21" t="s">
        <v>24</v>
      </c>
      <c r="E12" s="23" t="s">
        <v>24</v>
      </c>
      <c r="F12" s="23" t="s">
        <v>24</v>
      </c>
      <c r="G12" s="23" t="s">
        <v>24</v>
      </c>
      <c r="H12" s="23" t="s">
        <v>24</v>
      </c>
      <c r="I12" s="23" t="s">
        <v>24</v>
      </c>
    </row>
    <row r="13" spans="1:9" x14ac:dyDescent="0.25">
      <c r="A13" s="5" t="s">
        <v>152</v>
      </c>
      <c r="B13" s="24" t="s">
        <v>24</v>
      </c>
      <c r="C13" s="24" t="s">
        <v>24</v>
      </c>
      <c r="D13" s="24" t="s">
        <v>24</v>
      </c>
      <c r="E13" s="20" t="s">
        <v>24</v>
      </c>
      <c r="F13" s="20" t="s">
        <v>24</v>
      </c>
      <c r="G13" s="20" t="s">
        <v>24</v>
      </c>
      <c r="H13" s="20" t="s">
        <v>24</v>
      </c>
      <c r="I13" s="20" t="s">
        <v>24</v>
      </c>
    </row>
    <row r="14" spans="1:9" x14ac:dyDescent="0.25">
      <c r="A14" s="3" t="s">
        <v>153</v>
      </c>
      <c r="B14" s="4"/>
      <c r="C14" s="4"/>
      <c r="D14" s="4"/>
      <c r="E14" s="4"/>
      <c r="F14" s="4"/>
      <c r="G14" s="4"/>
      <c r="H14" s="4"/>
      <c r="I14" s="4"/>
    </row>
    <row r="15" spans="1:9" x14ac:dyDescent="0.25">
      <c r="A15" t="s">
        <v>154</v>
      </c>
      <c r="B15" s="21" t="s">
        <v>24</v>
      </c>
      <c r="C15" s="21" t="s">
        <v>24</v>
      </c>
      <c r="D15" s="21" t="s">
        <v>24</v>
      </c>
      <c r="E15" s="23" t="s">
        <v>24</v>
      </c>
      <c r="F15" s="23" t="s">
        <v>24</v>
      </c>
      <c r="G15" s="23" t="s">
        <v>24</v>
      </c>
      <c r="H15" s="23" t="s">
        <v>24</v>
      </c>
      <c r="I15" s="23" t="s">
        <v>24</v>
      </c>
    </row>
    <row r="16" spans="1:9" x14ac:dyDescent="0.25">
      <c r="A16" t="s">
        <v>155</v>
      </c>
      <c r="B16" s="21" t="s">
        <v>24</v>
      </c>
      <c r="C16" s="21" t="s">
        <v>24</v>
      </c>
      <c r="D16" s="21" t="s">
        <v>24</v>
      </c>
      <c r="E16" s="23" t="s">
        <v>24</v>
      </c>
      <c r="F16" s="23" t="s">
        <v>24</v>
      </c>
      <c r="G16" s="23" t="s">
        <v>24</v>
      </c>
      <c r="H16" s="23" t="s">
        <v>24</v>
      </c>
      <c r="I16" s="23" t="s">
        <v>24</v>
      </c>
    </row>
    <row r="17" spans="1:9" x14ac:dyDescent="0.25">
      <c r="A17" t="s">
        <v>156</v>
      </c>
      <c r="B17" s="21" t="s">
        <v>24</v>
      </c>
      <c r="C17" s="21" t="s">
        <v>24</v>
      </c>
      <c r="D17" s="21" t="s">
        <v>24</v>
      </c>
      <c r="E17" s="23" t="s">
        <v>24</v>
      </c>
      <c r="F17" s="23" t="s">
        <v>24</v>
      </c>
      <c r="G17" s="23" t="s">
        <v>24</v>
      </c>
      <c r="H17" s="23" t="s">
        <v>24</v>
      </c>
      <c r="I17" s="23" t="s">
        <v>24</v>
      </c>
    </row>
    <row r="18" spans="1:9" x14ac:dyDescent="0.25">
      <c r="A18" s="5" t="s">
        <v>157</v>
      </c>
      <c r="B18" s="24" t="s">
        <v>24</v>
      </c>
      <c r="C18" s="24" t="s">
        <v>24</v>
      </c>
      <c r="D18" s="24" t="s">
        <v>24</v>
      </c>
      <c r="E18" s="20" t="s">
        <v>24</v>
      </c>
      <c r="F18" s="20" t="s">
        <v>24</v>
      </c>
      <c r="G18" s="20" t="s">
        <v>24</v>
      </c>
      <c r="H18" s="20" t="s">
        <v>24</v>
      </c>
      <c r="I18" s="20" t="s">
        <v>24</v>
      </c>
    </row>
    <row r="19" spans="1:9" x14ac:dyDescent="0.25">
      <c r="A19" s="3" t="s">
        <v>158</v>
      </c>
      <c r="B19" s="4"/>
      <c r="C19" s="4"/>
      <c r="D19" s="4"/>
      <c r="E19" s="4"/>
      <c r="F19" s="4"/>
      <c r="G19" s="4"/>
      <c r="H19" s="4"/>
      <c r="I19" s="4"/>
    </row>
    <row r="20" spans="1:9" x14ac:dyDescent="0.25">
      <c r="A20" t="s">
        <v>159</v>
      </c>
      <c r="B20" s="21" t="s">
        <v>24</v>
      </c>
      <c r="C20" s="21" t="s">
        <v>24</v>
      </c>
      <c r="D20" s="21" t="s">
        <v>24</v>
      </c>
      <c r="E20" s="23" t="s">
        <v>24</v>
      </c>
      <c r="F20" s="23" t="s">
        <v>24</v>
      </c>
      <c r="G20" s="23" t="s">
        <v>24</v>
      </c>
      <c r="H20" s="23" t="s">
        <v>24</v>
      </c>
      <c r="I20" s="23" t="s">
        <v>24</v>
      </c>
    </row>
    <row r="21" spans="1:9" x14ac:dyDescent="0.25">
      <c r="A21" t="s">
        <v>160</v>
      </c>
      <c r="B21" s="25">
        <v>-1814.6</v>
      </c>
      <c r="C21" s="25">
        <v>-2225.2</v>
      </c>
      <c r="D21" s="25">
        <v>-3476.6</v>
      </c>
      <c r="E21" s="23" t="s">
        <v>24</v>
      </c>
      <c r="F21" s="23" t="s">
        <v>24</v>
      </c>
      <c r="G21" s="23" t="s">
        <v>24</v>
      </c>
      <c r="H21" s="23" t="s">
        <v>24</v>
      </c>
      <c r="I21" s="23" t="s">
        <v>24</v>
      </c>
    </row>
    <row r="22" spans="1:9" x14ac:dyDescent="0.25">
      <c r="A22" t="s">
        <v>161</v>
      </c>
      <c r="B22" s="21" t="s">
        <v>24</v>
      </c>
      <c r="C22" s="21" t="s">
        <v>24</v>
      </c>
      <c r="D22" s="21" t="s">
        <v>24</v>
      </c>
      <c r="E22" s="23" t="s">
        <v>24</v>
      </c>
      <c r="F22" s="23" t="s">
        <v>24</v>
      </c>
      <c r="G22" s="23" t="s">
        <v>24</v>
      </c>
      <c r="H22" s="23" t="s">
        <v>24</v>
      </c>
      <c r="I22" s="23" t="s">
        <v>24</v>
      </c>
    </row>
    <row r="23" spans="1:9" x14ac:dyDescent="0.25">
      <c r="A23" t="s">
        <v>162</v>
      </c>
      <c r="B23" s="21" t="s">
        <v>24</v>
      </c>
      <c r="C23" s="21" t="s">
        <v>24</v>
      </c>
      <c r="D23" s="21" t="s">
        <v>24</v>
      </c>
      <c r="E23" s="23" t="s">
        <v>24</v>
      </c>
      <c r="F23" s="23" t="s">
        <v>24</v>
      </c>
      <c r="G23" s="23" t="s">
        <v>24</v>
      </c>
      <c r="H23" s="23" t="s">
        <v>24</v>
      </c>
      <c r="I23" s="23" t="s">
        <v>24</v>
      </c>
    </row>
    <row r="24" spans="1:9" x14ac:dyDescent="0.25">
      <c r="A24" s="5" t="s">
        <v>163</v>
      </c>
      <c r="B24" s="24" t="s">
        <v>24</v>
      </c>
      <c r="C24" s="24" t="s">
        <v>24</v>
      </c>
      <c r="D24" s="24" t="s">
        <v>24</v>
      </c>
      <c r="E24" s="20" t="s">
        <v>24</v>
      </c>
      <c r="F24" s="20" t="s">
        <v>24</v>
      </c>
      <c r="G24" s="20" t="s">
        <v>24</v>
      </c>
      <c r="H24" s="20" t="s">
        <v>24</v>
      </c>
      <c r="I24" s="20" t="s">
        <v>24</v>
      </c>
    </row>
    <row r="25" spans="1:9" x14ac:dyDescent="0.25">
      <c r="A25" s="5" t="s">
        <v>164</v>
      </c>
      <c r="B25" s="24" t="s">
        <v>24</v>
      </c>
      <c r="C25" s="24" t="s">
        <v>24</v>
      </c>
      <c r="D25" s="24" t="s">
        <v>24</v>
      </c>
      <c r="E25" s="20" t="s">
        <v>24</v>
      </c>
      <c r="F25" s="20" t="s">
        <v>24</v>
      </c>
      <c r="G25" s="20" t="s">
        <v>24</v>
      </c>
      <c r="H25" s="20" t="s">
        <v>24</v>
      </c>
      <c r="I25" s="20" t="s">
        <v>24</v>
      </c>
    </row>
    <row r="26" spans="1:9" x14ac:dyDescent="0.25">
      <c r="A26" t="s">
        <v>165</v>
      </c>
      <c r="B26" s="21" t="s">
        <v>24</v>
      </c>
      <c r="C26" s="21" t="s">
        <v>24</v>
      </c>
      <c r="D26" s="21" t="s">
        <v>24</v>
      </c>
      <c r="E26" s="23" t="s">
        <v>24</v>
      </c>
      <c r="F26" s="23" t="s">
        <v>24</v>
      </c>
      <c r="G26" s="23" t="s">
        <v>24</v>
      </c>
      <c r="H26" s="23" t="s">
        <v>24</v>
      </c>
      <c r="I26" s="23" t="s">
        <v>24</v>
      </c>
    </row>
    <row r="27" spans="1:9" x14ac:dyDescent="0.25">
      <c r="A27" s="5" t="s">
        <v>166</v>
      </c>
      <c r="B27" s="24" t="s">
        <v>24</v>
      </c>
      <c r="C27" s="24" t="s">
        <v>24</v>
      </c>
      <c r="D27" s="24" t="s">
        <v>24</v>
      </c>
      <c r="E27" s="20" t="s">
        <v>24</v>
      </c>
      <c r="F27" s="20" t="s">
        <v>24</v>
      </c>
      <c r="G27" s="20" t="s">
        <v>24</v>
      </c>
      <c r="H27" s="20" t="s">
        <v>24</v>
      </c>
      <c r="I27" s="20" t="s">
        <v>24</v>
      </c>
    </row>
    <row r="29" spans="1:9" x14ac:dyDescent="0.25">
      <c r="A29" s="3" t="s">
        <v>167</v>
      </c>
      <c r="B29" s="4"/>
      <c r="C29" s="4"/>
      <c r="D29" s="4"/>
      <c r="E29" s="4"/>
      <c r="F29" s="4"/>
      <c r="G29" s="4"/>
      <c r="H29" s="4"/>
      <c r="I29" s="4"/>
    </row>
    <row r="30" spans="1:9" x14ac:dyDescent="0.25">
      <c r="A30" s="5" t="s">
        <v>168</v>
      </c>
      <c r="B30" s="5" t="s">
        <v>24</v>
      </c>
      <c r="C30" s="5" t="s">
        <v>24</v>
      </c>
      <c r="D30" s="5" t="s">
        <v>24</v>
      </c>
      <c r="E30" s="12" t="s">
        <v>24</v>
      </c>
      <c r="F30" s="12" t="s">
        <v>24</v>
      </c>
      <c r="G30" s="12" t="s">
        <v>24</v>
      </c>
      <c r="H30" s="12" t="s">
        <v>24</v>
      </c>
      <c r="I30" s="12" t="s">
        <v>24</v>
      </c>
    </row>
    <row r="31" spans="1:9" x14ac:dyDescent="0.25">
      <c r="A31" t="s">
        <v>169</v>
      </c>
      <c r="B31" t="s">
        <v>24</v>
      </c>
      <c r="C31" t="s">
        <v>24</v>
      </c>
      <c r="D31" t="s">
        <v>24</v>
      </c>
      <c r="E31" s="13" t="s">
        <v>24</v>
      </c>
      <c r="F31" s="13" t="s">
        <v>24</v>
      </c>
      <c r="G31" s="13" t="s">
        <v>24</v>
      </c>
      <c r="H31" s="13" t="s">
        <v>24</v>
      </c>
      <c r="I31" s="13" t="s">
        <v>24</v>
      </c>
    </row>
    <row r="32" spans="1:9" x14ac:dyDescent="0.25">
      <c r="A32" t="s">
        <v>170</v>
      </c>
      <c r="B32" t="s">
        <v>24</v>
      </c>
      <c r="C32" t="s">
        <v>24</v>
      </c>
      <c r="D32" t="s">
        <v>24</v>
      </c>
      <c r="E32" s="13" t="s">
        <v>24</v>
      </c>
      <c r="F32" s="13" t="s">
        <v>24</v>
      </c>
      <c r="G32" s="13" t="s">
        <v>24</v>
      </c>
      <c r="H32" s="13" t="s">
        <v>24</v>
      </c>
      <c r="I32" s="13" t="s">
        <v>24</v>
      </c>
    </row>
    <row r="33" spans="1:1" x14ac:dyDescent="0.25">
      <c r="A33" s="2" t="s">
        <v>171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Views>
    <sheetView workbookViewId="0">
      <pane xSplit="1" ySplit="4" topLeftCell="B5" activePane="bottomRight" state="frozen"/>
      <selection pane="bottomRight"/>
    </sheetView>
  </sheetViews>
  <sheetFormatPr defaultRowHeight="15" outlineLevelRow="0" outlineLevelCol="0" x14ac:dyDescent="55"/>
  <cols>
    <col min="1" max="1" width="40" customWidth="1"/>
    <col min="2" max="2" width="16" customWidth="1"/>
    <col min="3" max="3" width="44" customWidth="1"/>
    <col min="4" max="8" width="13" customWidth="1"/>
    <col min="11" max="11" width="90" customWidth="1"/>
  </cols>
  <sheetData>
    <row r="1" spans="1:1" x14ac:dyDescent="0.25">
      <c r="A1" s="1" t="s">
        <v>172</v>
      </c>
    </row>
    <row r="2" spans="1:1" x14ac:dyDescent="0.25">
      <c r="A2" s="2" t="s">
        <v>173</v>
      </c>
    </row>
    <row r="4" spans="1:11" x14ac:dyDescent="0.25">
      <c r="A4" s="9" t="s">
        <v>174</v>
      </c>
      <c r="B4" s="10" t="s">
        <v>175</v>
      </c>
      <c r="C4" s="10" t="s">
        <v>176</v>
      </c>
      <c r="D4" s="10" t="s">
        <v>177</v>
      </c>
      <c r="E4" s="10" t="s">
        <v>178</v>
      </c>
      <c r="F4" s="10" t="s">
        <v>179</v>
      </c>
      <c r="G4" s="10" t="s">
        <v>180</v>
      </c>
      <c r="H4" s="10" t="s">
        <v>181</v>
      </c>
      <c r="I4" s="10" t="s">
        <v>182</v>
      </c>
      <c r="J4" s="10" t="s">
        <v>8</v>
      </c>
      <c r="K4" s="10" t="s">
        <v>183</v>
      </c>
    </row>
    <row r="5" spans="1:11" x14ac:dyDescent="0.25">
      <c r="A5" s="5" t="s">
        <v>184</v>
      </c>
      <c r="B5" t="s">
        <v>185</v>
      </c>
      <c r="C5" s="2" t="s">
        <v>186</v>
      </c>
      <c r="D5" s="27">
        <v>23.657825857836112</v>
      </c>
      <c r="E5" s="27">
        <v>23.657825857836112</v>
      </c>
      <c r="F5" s="27">
        <v>23.657825857836112</v>
      </c>
      <c r="G5" s="27">
        <v>23.657825857836112</v>
      </c>
      <c r="H5" s="27">
        <v>23.657825857836112</v>
      </c>
      <c r="I5" t="s">
        <v>187</v>
      </c>
      <c r="J5" t="s">
        <v>188</v>
      </c>
      <c r="K5" s="8" t="s">
        <v>189</v>
      </c>
    </row>
    <row r="6" spans="1:11" x14ac:dyDescent="0.25">
      <c r="A6" s="5" t="s">
        <v>190</v>
      </c>
      <c r="B6" t="s">
        <v>191</v>
      </c>
      <c r="C6" s="2" t="s">
        <v>186</v>
      </c>
      <c r="D6" s="27">
        <v>16.051388439806633</v>
      </c>
      <c r="E6" s="27">
        <v>16.051388439806633</v>
      </c>
      <c r="F6" s="27">
        <v>16.051388439806633</v>
      </c>
      <c r="G6" s="27">
        <v>16.051388439806633</v>
      </c>
      <c r="H6" s="27">
        <v>16.051388439806633</v>
      </c>
      <c r="I6" t="s">
        <v>187</v>
      </c>
      <c r="J6" t="s">
        <v>188</v>
      </c>
      <c r="K6" s="8" t="s">
        <v>189</v>
      </c>
    </row>
    <row r="7" spans="1:11" x14ac:dyDescent="0.25">
      <c r="A7" s="5" t="s">
        <v>192</v>
      </c>
      <c r="B7" t="s">
        <v>193</v>
      </c>
      <c r="C7" s="2" t="s">
        <v>186</v>
      </c>
      <c r="D7" s="27">
        <v>7.253062582017915</v>
      </c>
      <c r="E7" s="27">
        <v>7.253062582017915</v>
      </c>
      <c r="F7" s="27">
        <v>7.253062582017915</v>
      </c>
      <c r="G7" s="27">
        <v>7.253062582017915</v>
      </c>
      <c r="H7" s="27">
        <v>7.253062582017915</v>
      </c>
      <c r="I7" t="s">
        <v>187</v>
      </c>
      <c r="J7" t="s">
        <v>188</v>
      </c>
      <c r="K7" s="8" t="s">
        <v>189</v>
      </c>
    </row>
    <row r="8" spans="1:11" x14ac:dyDescent="0.25">
      <c r="A8" s="5" t="s">
        <v>194</v>
      </c>
      <c r="B8" t="s">
        <v>191</v>
      </c>
      <c r="C8" s="2" t="s">
        <v>186</v>
      </c>
      <c r="D8" s="27">
        <v>3.9207196922410494</v>
      </c>
      <c r="E8" s="27">
        <v>3.9207196922410494</v>
      </c>
      <c r="F8" s="27">
        <v>3.9207196922410494</v>
      </c>
      <c r="G8" s="27">
        <v>3.9207196922410494</v>
      </c>
      <c r="H8" s="27">
        <v>3.9207196922410494</v>
      </c>
      <c r="I8" t="s">
        <v>187</v>
      </c>
      <c r="J8" t="s">
        <v>188</v>
      </c>
      <c r="K8" s="8" t="s">
        <v>189</v>
      </c>
    </row>
    <row r="9" spans="1:11" x14ac:dyDescent="0.25">
      <c r="A9" s="5" t="s">
        <v>195</v>
      </c>
      <c r="B9" t="s">
        <v>196</v>
      </c>
      <c r="C9" s="2" t="s">
        <v>186</v>
      </c>
      <c r="D9" s="27">
        <v>209.1316643500639</v>
      </c>
      <c r="E9" s="27">
        <v>209.1316643500639</v>
      </c>
      <c r="F9" s="27">
        <v>209.1316643500639</v>
      </c>
      <c r="G9" s="27">
        <v>209.1316643500639</v>
      </c>
      <c r="H9" s="27">
        <v>209.1316643500639</v>
      </c>
      <c r="I9" t="s">
        <v>187</v>
      </c>
      <c r="J9" t="s">
        <v>188</v>
      </c>
      <c r="K9" s="8" t="s">
        <v>189</v>
      </c>
    </row>
    <row r="10" spans="1:11" x14ac:dyDescent="0.25">
      <c r="A10" s="5" t="s">
        <v>197</v>
      </c>
      <c r="B10" t="s">
        <v>191</v>
      </c>
      <c r="C10" s="2" t="s">
        <v>186</v>
      </c>
      <c r="D10" s="27">
        <v>0.003984145552482996</v>
      </c>
      <c r="E10" s="27">
        <v>0.003984145552482996</v>
      </c>
      <c r="F10" s="27">
        <v>0.003984145552482996</v>
      </c>
      <c r="G10" s="27">
        <v>0.003984145552482996</v>
      </c>
      <c r="H10" s="27">
        <v>0.003984145552482996</v>
      </c>
      <c r="I10" t="s">
        <v>187</v>
      </c>
      <c r="J10" t="s">
        <v>188</v>
      </c>
      <c r="K10" s="8" t="s">
        <v>189</v>
      </c>
    </row>
    <row r="11" spans="1:11" x14ac:dyDescent="0.25">
      <c r="A11" s="5" t="s">
        <v>198</v>
      </c>
      <c r="B11" t="s">
        <v>199</v>
      </c>
      <c r="C11" s="2" t="s">
        <v>186</v>
      </c>
      <c r="D11" s="27">
        <v>0.13374364399139307</v>
      </c>
      <c r="E11" s="27">
        <v>0.13374364399139307</v>
      </c>
      <c r="F11" s="27">
        <v>0.13374364399139307</v>
      </c>
      <c r="G11" s="27">
        <v>0.13374364399139307</v>
      </c>
      <c r="H11" s="27">
        <v>0.13374364399139307</v>
      </c>
      <c r="I11" t="s">
        <v>187</v>
      </c>
      <c r="J11" t="s">
        <v>188</v>
      </c>
      <c r="K11" s="8" t="s">
        <v>189</v>
      </c>
    </row>
    <row r="12" spans="1:11" x14ac:dyDescent="0.25">
      <c r="A12" s="5" t="s">
        <v>200</v>
      </c>
      <c r="B12" t="s">
        <v>201</v>
      </c>
      <c r="C12" s="2" t="s">
        <v>186</v>
      </c>
      <c r="D12" s="27">
        <v>25.13275090890768</v>
      </c>
      <c r="E12" s="27">
        <v>25.13275090890768</v>
      </c>
      <c r="F12" s="27">
        <v>25.13275090890768</v>
      </c>
      <c r="G12" s="27">
        <v>25.13275090890768</v>
      </c>
      <c r="H12" s="27">
        <v>25.13275090890768</v>
      </c>
      <c r="I12" t="s">
        <v>187</v>
      </c>
      <c r="J12" t="s">
        <v>188</v>
      </c>
      <c r="K12" s="8" t="s">
        <v>189</v>
      </c>
    </row>
    <row r="15" spans="1:6" x14ac:dyDescent="0.25">
      <c r="A15" s="3" t="s">
        <v>202</v>
      </c>
      <c r="B15" s="4"/>
      <c r="C15" s="4"/>
      <c r="D15" s="4"/>
      <c r="E15" s="4"/>
      <c r="F15" s="4"/>
    </row>
    <row r="16" spans="1:3" x14ac:dyDescent="0.25">
      <c r="A16" t="s">
        <v>203</v>
      </c>
      <c r="C16" s="5" t="s">
        <v>204</v>
      </c>
    </row>
    <row r="17" spans="1:3" x14ac:dyDescent="0.25">
      <c r="A17" t="s">
        <v>175</v>
      </c>
      <c r="C17" t="s">
        <v>24</v>
      </c>
    </row>
    <row r="18" ht="80" customHeight="1" spans="1:8" x14ac:dyDescent="0.25">
      <c r="A18" t="s">
        <v>205</v>
      </c>
      <c r="C18" s="8" t="s">
        <v>206</v>
      </c>
      <c r="D18" s="8"/>
      <c r="E18" s="8"/>
      <c r="F18" s="8"/>
      <c r="G18" s="8"/>
      <c r="H18" s="8"/>
    </row>
  </sheetData>
  <mergeCells count="1">
    <mergeCell ref="C18:H18"/>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pane ySplit="2" topLeftCell="A3" activePane="bottomLeft" state="frozen"/>
      <selection pane="bottomLeft"/>
    </sheetView>
  </sheetViews>
  <sheetFormatPr defaultRowHeight="15" outlineLevelRow="0" outlineLevelCol="0" x14ac:dyDescent="55"/>
  <cols>
    <col min="1" max="1" width="44" customWidth="1"/>
    <col min="2" max="2" width="22" customWidth="1"/>
    <col min="3" max="3" width="16" customWidth="1"/>
    <col min="4" max="4" width="70" customWidth="1"/>
    <col min="5" max="7" width="16" customWidth="1"/>
  </cols>
  <sheetData>
    <row r="1" spans="1:1" x14ac:dyDescent="0.25">
      <c r="A1" s="1" t="s">
        <v>207</v>
      </c>
    </row>
    <row r="2" spans="1:1" x14ac:dyDescent="0.25">
      <c r="A2" s="2" t="s">
        <v>208</v>
      </c>
    </row>
    <row r="4" spans="1:7" x14ac:dyDescent="0.25">
      <c r="A4" s="3" t="s">
        <v>209</v>
      </c>
      <c r="B4" s="4"/>
      <c r="C4" s="4"/>
      <c r="D4" s="4"/>
      <c r="E4" s="4"/>
      <c r="F4" s="4"/>
      <c r="G4" s="4"/>
    </row>
    <row r="5" spans="1:2" x14ac:dyDescent="0.25">
      <c r="A5" t="s">
        <v>210</v>
      </c>
      <c r="B5" s="5" t="s">
        <v>7</v>
      </c>
    </row>
    <row r="6" spans="1:2" x14ac:dyDescent="0.25">
      <c r="A6" t="s">
        <v>4</v>
      </c>
      <c r="B6" s="6">
        <v>364.92</v>
      </c>
    </row>
    <row r="7" spans="1:2" x14ac:dyDescent="0.25">
      <c r="A7" t="s">
        <v>3</v>
      </c>
      <c r="B7" s="27">
        <v>939.1</v>
      </c>
    </row>
    <row r="8" spans="1:2" x14ac:dyDescent="0.25">
      <c r="A8" t="s">
        <v>5</v>
      </c>
      <c r="B8" s="7">
        <f>B6/B7-1</f>
        <v>-0.6114151847513577</v>
      </c>
    </row>
    <row r="9" spans="1:3" x14ac:dyDescent="0.25">
      <c r="A9" t="s">
        <v>8</v>
      </c>
      <c r="B9" t="s">
        <v>9</v>
      </c>
      <c r="C9" s="2" t="s">
        <v>211</v>
      </c>
    </row>
    <row r="10" spans="1:2" x14ac:dyDescent="0.25">
      <c r="A10" t="s">
        <v>10</v>
      </c>
      <c r="B10" s="5" t="s">
        <v>75</v>
      </c>
    </row>
    <row r="11" spans="1:2" x14ac:dyDescent="0.25">
      <c r="A11" t="s">
        <v>212</v>
      </c>
      <c r="B11" t="s">
        <v>213</v>
      </c>
    </row>
    <row r="14" spans="1:7" x14ac:dyDescent="0.25">
      <c r="A14" s="3" t="s">
        <v>214</v>
      </c>
      <c r="B14" s="4"/>
      <c r="C14" s="4"/>
      <c r="D14" s="4"/>
      <c r="E14" s="4"/>
      <c r="F14" s="4"/>
      <c r="G14" s="4"/>
    </row>
    <row r="15" spans="1:6" x14ac:dyDescent="0.25">
      <c r="A15" s="9" t="s">
        <v>210</v>
      </c>
      <c r="B15" s="10" t="s">
        <v>215</v>
      </c>
      <c r="C15" s="10" t="s">
        <v>216</v>
      </c>
      <c r="D15" s="10" t="s">
        <v>217</v>
      </c>
      <c r="E15" s="10" t="s">
        <v>218</v>
      </c>
      <c r="F15" s="10" t="s">
        <v>219</v>
      </c>
    </row>
    <row r="16" spans="1:6" x14ac:dyDescent="0.25">
      <c r="A16" t="s">
        <v>220</v>
      </c>
      <c r="B16" s="27">
        <v>318.32</v>
      </c>
      <c r="C16" s="27">
        <v>364.92</v>
      </c>
      <c r="D16" s="27">
        <v>423.95</v>
      </c>
      <c r="E16" s="16">
        <v>100</v>
      </c>
      <c r="F16" t="s">
        <v>221</v>
      </c>
    </row>
    <row r="17" spans="1:6" x14ac:dyDescent="0.25">
      <c r="A17" t="s">
        <v>222</v>
      </c>
      <c r="B17" s="27">
        <v>290.22</v>
      </c>
      <c r="C17" s="27">
        <v>323.08</v>
      </c>
      <c r="D17" s="27">
        <v>364.35</v>
      </c>
      <c r="E17" s="16">
        <v>0</v>
      </c>
      <c r="F17" t="s">
        <v>223</v>
      </c>
    </row>
    <row r="18" spans="1:6" x14ac:dyDescent="0.25">
      <c r="A18" t="s">
        <v>224</v>
      </c>
      <c r="B18" s="27">
        <v>297.01</v>
      </c>
      <c r="C18" s="27">
        <v>342.65</v>
      </c>
      <c r="D18" s="27">
        <v>400.68</v>
      </c>
      <c r="E18" s="16">
        <v>0</v>
      </c>
      <c r="F18" t="s">
        <v>223</v>
      </c>
    </row>
    <row r="20" spans="1:7" x14ac:dyDescent="0.25">
      <c r="A20" s="3" t="s">
        <v>225</v>
      </c>
      <c r="B20" s="4"/>
      <c r="C20" s="4"/>
      <c r="D20" s="4"/>
      <c r="E20" s="4"/>
      <c r="F20" s="4"/>
      <c r="G20" s="4"/>
    </row>
    <row r="21" spans="1:3" x14ac:dyDescent="0.25">
      <c r="A21" t="s">
        <v>226</v>
      </c>
      <c r="B21" t="s">
        <v>24</v>
      </c>
      <c r="C21" s="2" t="s">
        <v>227</v>
      </c>
    </row>
    <row r="22" spans="1:3" x14ac:dyDescent="0.25">
      <c r="A22" t="s">
        <v>228</v>
      </c>
      <c r="B22" t="s">
        <v>229</v>
      </c>
      <c r="C22" s="2" t="s">
        <v>230</v>
      </c>
    </row>
    <row r="24" spans="1:7" x14ac:dyDescent="0.25">
      <c r="A24" s="3" t="s">
        <v>231</v>
      </c>
      <c r="B24" s="4"/>
      <c r="C24" s="4"/>
      <c r="D24" s="4"/>
      <c r="E24" s="4"/>
      <c r="F24" s="4"/>
      <c r="G24" s="4"/>
    </row>
    <row r="25" spans="1:4" x14ac:dyDescent="0.25">
      <c r="A25" s="9" t="s">
        <v>232</v>
      </c>
      <c r="B25" s="10" t="s">
        <v>233</v>
      </c>
      <c r="C25" s="10" t="s">
        <v>234</v>
      </c>
      <c r="D25" s="10" t="s">
        <v>235</v>
      </c>
    </row>
    <row r="26" spans="1:4" x14ac:dyDescent="0.25">
      <c r="A26" t="s">
        <v>236</v>
      </c>
      <c r="B26" t="s">
        <v>237</v>
      </c>
      <c r="D26" s="8" t="s">
        <v>238</v>
      </c>
    </row>
    <row r="27" spans="1:4" x14ac:dyDescent="0.25">
      <c r="A27" t="s">
        <v>239</v>
      </c>
      <c r="B27" t="s">
        <v>237</v>
      </c>
      <c r="D27" s="8" t="s">
        <v>240</v>
      </c>
    </row>
    <row r="28" spans="1:4" x14ac:dyDescent="0.25">
      <c r="A28" t="s">
        <v>241</v>
      </c>
      <c r="B28" t="s">
        <v>237</v>
      </c>
      <c r="D28" s="8" t="s">
        <v>242</v>
      </c>
    </row>
    <row r="29" spans="1:4" x14ac:dyDescent="0.25">
      <c r="A29" t="s">
        <v>243</v>
      </c>
      <c r="B29" t="s">
        <v>237</v>
      </c>
      <c r="D29" s="8" t="s">
        <v>244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workbookViewId="0">
      <pane xSplit="1" ySplit="2" topLeftCell="B3" activePane="bottomRight" state="frozen"/>
      <selection pane="bottomRight"/>
    </sheetView>
  </sheetViews>
  <sheetFormatPr defaultRowHeight="15" outlineLevelRow="0" outlineLevelCol="0" x14ac:dyDescent="55"/>
  <cols>
    <col min="1" max="1" width="40" customWidth="1"/>
    <col min="2" max="2" width="16" customWidth="1"/>
    <col min="3" max="16" width="13" customWidth="1"/>
  </cols>
  <sheetData>
    <row r="1" spans="1:1" x14ac:dyDescent="0.25">
      <c r="A1" s="1" t="s">
        <v>245</v>
      </c>
    </row>
    <row r="2" spans="1:1" x14ac:dyDescent="0.25">
      <c r="A2" s="2" t="s">
        <v>246</v>
      </c>
    </row>
    <row r="4" spans="1:16" x14ac:dyDescent="0.25">
      <c r="A4" s="3" t="s">
        <v>247</v>
      </c>
      <c r="B4" s="4"/>
      <c r="C4" s="4"/>
      <c r="D4" s="4"/>
      <c r="E4" s="4"/>
      <c r="F4" s="4"/>
      <c r="G4" s="4"/>
      <c r="H4" s="4"/>
      <c r="I4" s="4"/>
      <c r="J4" s="4"/>
      <c r="K4" s="4"/>
      <c r="L4" s="4"/>
      <c r="M4" s="4"/>
      <c r="N4" s="4"/>
      <c r="O4" s="4"/>
      <c r="P4" s="4"/>
    </row>
    <row r="5" spans="1:1" x14ac:dyDescent="0.25">
      <c r="A5" s="2" t="s">
        <v>248</v>
      </c>
    </row>
    <row r="6" spans="1:1" x14ac:dyDescent="0.25">
      <c r="A6" s="2" t="s">
        <v>249</v>
      </c>
    </row>
    <row r="7" spans="1:6" x14ac:dyDescent="0.25">
      <c r="A7" s="9" t="s">
        <v>250</v>
      </c>
      <c r="B7" s="10" t="s">
        <v>251</v>
      </c>
      <c r="C7" s="10" t="s">
        <v>38</v>
      </c>
      <c r="D7" s="10" t="s">
        <v>39</v>
      </c>
      <c r="E7" s="10" t="s">
        <v>252</v>
      </c>
      <c r="F7" s="10" t="s">
        <v>253</v>
      </c>
    </row>
    <row r="8" spans="1:6" x14ac:dyDescent="0.25">
      <c r="A8" s="28" t="s">
        <v>254</v>
      </c>
      <c r="B8" t="s">
        <v>255</v>
      </c>
      <c r="C8" s="29">
        <v>30.244103041589074</v>
      </c>
      <c r="D8" s="29">
        <v>4.74658018006316</v>
      </c>
      <c r="E8" s="30">
        <v>0.58</v>
      </c>
      <c r="F8" s="30">
        <v>15.694233595012136</v>
      </c>
    </row>
    <row r="9" spans="1:6" x14ac:dyDescent="0.25">
      <c r="A9" t="s">
        <v>256</v>
      </c>
      <c r="B9" t="s">
        <v>257</v>
      </c>
      <c r="C9" s="14">
        <v>25.896617618956622</v>
      </c>
      <c r="D9" t="s">
        <v>258</v>
      </c>
      <c r="E9" s="17">
        <v>0.13</v>
      </c>
      <c r="F9" s="17">
        <v>15.15406000231669</v>
      </c>
    </row>
    <row r="10" spans="1:6" x14ac:dyDescent="0.25">
      <c r="A10" t="s">
        <v>259</v>
      </c>
      <c r="B10" t="s">
        <v>260</v>
      </c>
      <c r="C10" s="14">
        <v>4.846002855103498</v>
      </c>
      <c r="D10" s="14">
        <v>0.6189065384352423</v>
      </c>
      <c r="E10" s="17">
        <v>2.03</v>
      </c>
      <c r="F10" s="17">
        <v>12.771485220720619</v>
      </c>
    </row>
    <row r="11" spans="1:6" x14ac:dyDescent="0.25">
      <c r="A11" t="s">
        <v>261</v>
      </c>
      <c r="B11" t="s">
        <v>260</v>
      </c>
      <c r="C11" s="14">
        <v>12.716183152743795</v>
      </c>
      <c r="D11" s="14">
        <v>1.323571142722014</v>
      </c>
      <c r="E11" s="17">
        <v>2.87</v>
      </c>
      <c r="F11" s="17">
        <v>10.408556772292355</v>
      </c>
    </row>
    <row r="12" spans="1:6" x14ac:dyDescent="0.25">
      <c r="A12" t="s">
        <v>262</v>
      </c>
      <c r="B12" t="s">
        <v>260</v>
      </c>
      <c r="C12" s="14">
        <v>9.116432544546054</v>
      </c>
      <c r="D12" s="14">
        <v>2.201384146063835</v>
      </c>
      <c r="E12" s="17">
        <v>1.25</v>
      </c>
      <c r="F12" t="s">
        <v>263</v>
      </c>
    </row>
    <row r="13" spans="1:6" x14ac:dyDescent="0.25">
      <c r="A13" t="s">
        <v>264</v>
      </c>
      <c r="B13" t="s">
        <v>257</v>
      </c>
      <c r="C13" s="14">
        <v>19.323024740622508</v>
      </c>
      <c r="D13" s="14">
        <v>1.7381792076098175</v>
      </c>
      <c r="E13" s="17">
        <v>1.31</v>
      </c>
      <c r="F13" s="17">
        <v>8.995378471754835</v>
      </c>
    </row>
    <row r="14" spans="1:6" x14ac:dyDescent="0.25">
      <c r="A14" s="5" t="s">
        <v>36</v>
      </c>
      <c r="C14" s="15">
        <f>MEDIAN(C9:C13)</f>
        <v>12.716183152743795</v>
      </c>
      <c r="D14" s="15">
        <f>MEDIAN(D9:D13)</f>
        <v>1.5308751751659158</v>
      </c>
      <c r="E14" s="18">
        <f>MEDIAN(E9:E13)</f>
        <v>1.31</v>
      </c>
      <c r="F14" s="18">
        <f>MEDIAN(F9:F13)</f>
        <v>11.590020996506487</v>
      </c>
    </row>
    <row r="15" spans="1:6" x14ac:dyDescent="0.25">
      <c r="A15" t="s">
        <v>265</v>
      </c>
      <c r="C15" s="14">
        <f>QUARTILE(C9:C13,1)</f>
        <v>9.116432544546054</v>
      </c>
      <c r="D15" s="14">
        <f>QUARTILE(D9:D13,1)</f>
        <v>1.147404991650321</v>
      </c>
      <c r="E15" s="17">
        <f>QUARTILE(E9:E13,1)</f>
        <v>1.25</v>
      </c>
      <c r="F15" s="17">
        <f>QUARTILE(F9:F13,1)</f>
        <v>10.055262197157976</v>
      </c>
    </row>
    <row r="16" spans="1:6" x14ac:dyDescent="0.25">
      <c r="A16" t="s">
        <v>266</v>
      </c>
      <c r="C16" s="14">
        <f>QUARTILE(C9:C13,3)</f>
        <v>19.323024740622508</v>
      </c>
      <c r="D16" s="14">
        <f>QUARTILE(D9:D13,3)</f>
        <v>1.853980442223322</v>
      </c>
      <c r="E16" s="17">
        <f>QUARTILE(E9:E13,3)</f>
        <v>2.03</v>
      </c>
      <c r="F16" s="17">
        <f>QUARTILE(F9:F13,3)</f>
        <v>13.367128916119636</v>
      </c>
    </row>
    <row r="17" spans="1:6" x14ac:dyDescent="0.25">
      <c r="A17" t="s">
        <v>267</v>
      </c>
      <c r="C17" s="14">
        <f>AVERAGE(C9:C13)</f>
        <v>14.379652182394494</v>
      </c>
      <c r="D17" s="14">
        <f>AVERAGE(D9:D13)</f>
        <v>1.4705102587077272</v>
      </c>
      <c r="E17" s="17">
        <f>AVERAGE(E9:E13)</f>
        <v>1.518</v>
      </c>
      <c r="F17" s="17">
        <f>AVERAGE(F9:F13)</f>
        <v>11.832370116771125</v>
      </c>
    </row>
    <row r="18" spans="1:6" x14ac:dyDescent="0.25">
      <c r="A18" t="s">
        <v>268</v>
      </c>
      <c r="C18" s="16">
        <f>COUNT(C9:C13)</f>
        <v>5</v>
      </c>
      <c r="D18" s="16">
        <f>COUNT(D9:D13)</f>
        <v>4</v>
      </c>
      <c r="E18" s="16">
        <f>COUNT(E9:E13)</f>
        <v>5</v>
      </c>
      <c r="F18" s="16">
        <f>COUNT(F9:F13)</f>
        <v>4</v>
      </c>
    </row>
    <row r="19" spans="1:6" x14ac:dyDescent="0.25">
      <c r="A19" t="s">
        <v>269</v>
      </c>
      <c r="C19" t="s">
        <v>75</v>
      </c>
      <c r="D19" t="s">
        <v>270</v>
      </c>
      <c r="E19" t="s">
        <v>75</v>
      </c>
      <c r="F19" t="s">
        <v>270</v>
      </c>
    </row>
    <row r="20" spans="1:6" x14ac:dyDescent="0.25">
      <c r="A20" s="5" t="s">
        <v>271</v>
      </c>
      <c r="C20" s="7">
        <f>C8/C14-1</f>
        <v>1.378394733569345</v>
      </c>
      <c r="D20" s="7">
        <f>D8/D14-1</f>
        <v>2.1005664322362056</v>
      </c>
      <c r="E20" s="7">
        <f>E8/E14-1</f>
        <v>-0.5572519083969466</v>
      </c>
      <c r="F20" s="7">
        <f>F8/F14-1</f>
        <v>0.35411606240771754</v>
      </c>
    </row>
    <row r="21" spans="1:1" x14ac:dyDescent="0.25">
      <c r="A21" s="2" t="s">
        <v>272</v>
      </c>
    </row>
    <row r="22" spans="1:1" x14ac:dyDescent="0.25">
      <c r="A22" s="2" t="s">
        <v>273</v>
      </c>
    </row>
    <row r="24" spans="1:1" x14ac:dyDescent="0.25">
      <c r="A24" s="2" t="s">
        <v>274</v>
      </c>
    </row>
    <row r="25" spans="1:1" x14ac:dyDescent="0.25">
      <c r="A25" s="2" t="s">
        <v>275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FormatPr defaultRowHeight="15" outlineLevelRow="0" outlineLevelCol="0" x14ac:dyDescent="55"/>
  <cols>
    <col min="1" max="1" width="52" customWidth="1"/>
    <col min="2" max="9" width="16" customWidth="1"/>
  </cols>
  <sheetData>
    <row r="1" spans="1:1" x14ac:dyDescent="0.25">
      <c r="A1" s="1" t="s">
        <v>276</v>
      </c>
    </row>
    <row r="2" spans="1:1" x14ac:dyDescent="0.25">
      <c r="A2" s="2" t="s">
        <v>277</v>
      </c>
    </row>
    <row r="4" spans="1:8" x14ac:dyDescent="0.25">
      <c r="A4" s="3" t="s">
        <v>278</v>
      </c>
      <c r="B4" s="4"/>
      <c r="C4" s="4"/>
      <c r="D4" s="4"/>
      <c r="E4" s="4"/>
      <c r="F4" s="4"/>
      <c r="G4" s="4"/>
      <c r="H4" s="4"/>
    </row>
    <row r="5" spans="1:1" x14ac:dyDescent="0.25">
      <c r="A5" t="s">
        <v>279</v>
      </c>
    </row>
    <row r="6" spans="1:2" x14ac:dyDescent="0.25">
      <c r="A6" t="s">
        <v>280</v>
      </c>
      <c r="B6" s="31">
        <v>13.83</v>
      </c>
    </row>
    <row r="7" spans="1:2" x14ac:dyDescent="0.25">
      <c r="A7" t="s">
        <v>281</v>
      </c>
      <c r="B7" s="31">
        <v>6.950000000000001</v>
      </c>
    </row>
    <row r="8" spans="1:2" x14ac:dyDescent="0.25">
      <c r="A8" t="s">
        <v>282</v>
      </c>
      <c r="B8" s="32">
        <v>1.25</v>
      </c>
    </row>
    <row r="9" spans="1:2" x14ac:dyDescent="0.25">
      <c r="A9" t="s">
        <v>283</v>
      </c>
      <c r="B9" s="31">
        <v>5.5</v>
      </c>
    </row>
    <row r="10" spans="1:2" x14ac:dyDescent="0.25">
      <c r="A10" t="s">
        <v>284</v>
      </c>
      <c r="B10" s="31">
        <v>13.83</v>
      </c>
    </row>
    <row r="11" spans="1:2" x14ac:dyDescent="0.25">
      <c r="A11" t="s">
        <v>285</v>
      </c>
      <c r="B11" t="s">
        <v>24</v>
      </c>
    </row>
    <row r="12" spans="1:2" x14ac:dyDescent="0.25">
      <c r="A12" t="s">
        <v>286</v>
      </c>
      <c r="B12" s="31">
        <v>5</v>
      </c>
    </row>
    <row r="13" spans="1:1" x14ac:dyDescent="0.25">
      <c r="A13" s="2" t="s">
        <v>287</v>
      </c>
    </row>
    <row r="15" spans="1:8" x14ac:dyDescent="0.25">
      <c r="A15" s="3" t="s">
        <v>288</v>
      </c>
      <c r="B15" s="4"/>
      <c r="C15" s="4"/>
      <c r="D15" s="4"/>
      <c r="E15" s="4"/>
      <c r="F15" s="4"/>
      <c r="G15" s="4"/>
      <c r="H15" s="4"/>
    </row>
    <row r="16" spans="1:1" x14ac:dyDescent="0.25">
      <c r="A16" s="2" t="s">
        <v>289</v>
      </c>
    </row>
    <row r="18" spans="1:8" x14ac:dyDescent="0.25">
      <c r="A18" s="3" t="s">
        <v>290</v>
      </c>
      <c r="B18" s="4"/>
      <c r="C18" s="4"/>
      <c r="D18" s="4"/>
      <c r="E18" s="4"/>
      <c r="F18" s="4"/>
      <c r="G18" s="4"/>
      <c r="H18" s="4"/>
    </row>
    <row r="19" spans="1:1" x14ac:dyDescent="0.25">
      <c r="A19" s="2" t="s">
        <v>291</v>
      </c>
    </row>
    <row r="20" spans="1:1" x14ac:dyDescent="0.25">
      <c r="A20" s="2" t="s">
        <v>292</v>
      </c>
    </row>
    <row r="21" spans="1:1" x14ac:dyDescent="0.25">
      <c r="A21" s="2" t="s">
        <v>293</v>
      </c>
    </row>
    <row r="22" spans="1:1" x14ac:dyDescent="0.25">
      <c r="A22" s="2" t="s">
        <v>294</v>
      </c>
    </row>
    <row r="23" spans="1:1" x14ac:dyDescent="0.25">
      <c r="A23" s="2" t="s">
        <v>295</v>
      </c>
    </row>
    <row r="24" spans="1:1" x14ac:dyDescent="0.25">
      <c r="A24" s="2" t="s">
        <v>296</v>
      </c>
    </row>
    <row r="25" spans="1:1" x14ac:dyDescent="0.25">
      <c r="A25" s="2" t="s">
        <v>297</v>
      </c>
    </row>
    <row r="27" spans="1:8" x14ac:dyDescent="0.25">
      <c r="A27" s="3" t="s">
        <v>298</v>
      </c>
      <c r="B27" s="4"/>
      <c r="C27" s="4"/>
      <c r="D27" s="4"/>
      <c r="E27" s="4"/>
      <c r="F27" s="4"/>
      <c r="G27" s="4"/>
      <c r="H27" s="4"/>
    </row>
    <row r="28" spans="1:2" x14ac:dyDescent="0.25">
      <c r="A28" s="5" t="s">
        <v>299</v>
      </c>
      <c r="B28" t="s">
        <v>300</v>
      </c>
    </row>
    <row r="29" spans="1:2" x14ac:dyDescent="0.25">
      <c r="A29" s="5" t="s">
        <v>187</v>
      </c>
      <c r="B29" t="s">
        <v>301</v>
      </c>
    </row>
    <row r="30" spans="1:2" x14ac:dyDescent="0.25">
      <c r="A30" s="5" t="s">
        <v>302</v>
      </c>
      <c r="B30" t="s">
        <v>303</v>
      </c>
    </row>
    <row r="31" spans="1:2" x14ac:dyDescent="0.25">
      <c r="A31" s="5" t="s">
        <v>304</v>
      </c>
      <c r="B31" t="s">
        <v>305</v>
      </c>
    </row>
    <row r="32" spans="1:2" x14ac:dyDescent="0.25">
      <c r="A32" s="5" t="s">
        <v>306</v>
      </c>
      <c r="B32" t="s">
        <v>307</v>
      </c>
    </row>
    <row r="33" spans="1:2" x14ac:dyDescent="0.25">
      <c r="A33" s="5" t="s">
        <v>72</v>
      </c>
      <c r="B33" t="s">
        <v>308</v>
      </c>
    </row>
    <row r="34" spans="1:2" x14ac:dyDescent="0.25">
      <c r="A34" s="5" t="s">
        <v>309</v>
      </c>
      <c r="B34" t="s">
        <v>310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FormatPr defaultRowHeight="15" outlineLevelRow="0" outlineLevelCol="0" x14ac:dyDescent="55"/>
  <cols>
    <col min="1" max="1" width="120" customWidth="1"/>
  </cols>
  <sheetData>
    <row r="1" spans="1:1" x14ac:dyDescent="0.25">
      <c r="A1" s="1" t="s">
        <v>311</v>
      </c>
    </row>
    <row r="2" spans="1:1" x14ac:dyDescent="0.25">
      <c r="A2" s="2" t="s">
        <v>312</v>
      </c>
    </row>
    <row r="4" spans="1:1" x14ac:dyDescent="0.25">
      <c r="A4" s="5" t="s">
        <v>313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pane xSplit="1" ySplit="3" topLeftCell="B4" activePane="bottomRight" state="frozen"/>
      <selection pane="bottomRight"/>
    </sheetView>
  </sheetViews>
  <sheetFormatPr defaultRowHeight="15" outlineLevelRow="0" outlineLevelCol="0" x14ac:dyDescent="55"/>
  <cols>
    <col min="1" max="1" width="60" customWidth="1"/>
    <col min="2" max="11" width="14" customWidth="1"/>
  </cols>
  <sheetData>
    <row r="1" spans="1:1" x14ac:dyDescent="0.25">
      <c r="A1" s="1" t="s">
        <v>314</v>
      </c>
    </row>
    <row r="2" spans="1:1" x14ac:dyDescent="0.25">
      <c r="A2" s="2" t="s">
        <v>315</v>
      </c>
    </row>
    <row r="4" spans="1:9" x14ac:dyDescent="0.25">
      <c r="A4" s="3" t="s">
        <v>316</v>
      </c>
      <c r="B4" s="4"/>
      <c r="C4" s="4"/>
      <c r="D4" s="4"/>
      <c r="E4" s="4"/>
      <c r="F4" s="4"/>
      <c r="G4" s="4"/>
      <c r="H4" s="4"/>
      <c r="I4" s="4"/>
    </row>
    <row r="5" spans="1:9" x14ac:dyDescent="0.25">
      <c r="A5" s="9" t="s">
        <v>317</v>
      </c>
      <c r="B5" s="10" t="s">
        <v>14</v>
      </c>
      <c r="C5" s="10" t="s">
        <v>15</v>
      </c>
      <c r="D5" s="10" t="s">
        <v>16</v>
      </c>
      <c r="E5" s="10" t="s">
        <v>17</v>
      </c>
      <c r="F5" s="10" t="s">
        <v>18</v>
      </c>
      <c r="G5" s="10" t="s">
        <v>19</v>
      </c>
      <c r="H5" s="10" t="s">
        <v>20</v>
      </c>
      <c r="I5" s="10" t="s">
        <v>21</v>
      </c>
    </row>
    <row r="6" spans="1:9" x14ac:dyDescent="0.25">
      <c r="A6" t="s">
        <v>318</v>
      </c>
      <c r="B6" s="33">
        <f>'Income Statement'!B5/'Income Statement'!B5</f>
        <v>1</v>
      </c>
      <c r="C6" s="33">
        <f>'Income Statement'!C5/'Income Statement'!C5</f>
        <v>1</v>
      </c>
      <c r="D6" s="33">
        <f>'Income Statement'!D5/'Income Statement'!D5</f>
        <v>1</v>
      </c>
      <c r="E6" t="s">
        <v>24</v>
      </c>
      <c r="F6" t="s">
        <v>24</v>
      </c>
      <c r="G6" t="s">
        <v>24</v>
      </c>
      <c r="H6" t="s">
        <v>24</v>
      </c>
      <c r="I6" t="s">
        <v>24</v>
      </c>
    </row>
    <row r="7" spans="1:9" x14ac:dyDescent="0.25">
      <c r="A7" t="s">
        <v>319</v>
      </c>
      <c r="B7" t="s">
        <v>24</v>
      </c>
      <c r="C7" t="s">
        <v>24</v>
      </c>
      <c r="D7" t="s">
        <v>24</v>
      </c>
      <c r="E7" t="s">
        <v>24</v>
      </c>
      <c r="F7" t="s">
        <v>24</v>
      </c>
      <c r="G7" t="s">
        <v>24</v>
      </c>
      <c r="H7" t="s">
        <v>24</v>
      </c>
      <c r="I7" t="s">
        <v>24</v>
      </c>
    </row>
    <row r="8" spans="1:9" x14ac:dyDescent="0.25">
      <c r="A8" t="s">
        <v>320</v>
      </c>
      <c r="B8" t="s">
        <v>24</v>
      </c>
      <c r="C8" t="s">
        <v>24</v>
      </c>
      <c r="D8" t="s">
        <v>24</v>
      </c>
      <c r="E8" t="s">
        <v>24</v>
      </c>
      <c r="F8" t="s">
        <v>24</v>
      </c>
      <c r="G8" t="s">
        <v>24</v>
      </c>
      <c r="H8" t="s">
        <v>24</v>
      </c>
      <c r="I8" t="s">
        <v>24</v>
      </c>
    </row>
    <row r="9" spans="1:9" x14ac:dyDescent="0.25">
      <c r="A9" t="s">
        <v>92</v>
      </c>
      <c r="B9" t="s">
        <v>24</v>
      </c>
      <c r="C9" t="s">
        <v>24</v>
      </c>
      <c r="D9" t="s">
        <v>24</v>
      </c>
      <c r="E9" t="s">
        <v>24</v>
      </c>
      <c r="F9" t="s">
        <v>24</v>
      </c>
      <c r="G9" t="s">
        <v>24</v>
      </c>
      <c r="H9" t="s">
        <v>24</v>
      </c>
      <c r="I9" t="s">
        <v>24</v>
      </c>
    </row>
    <row r="10" spans="1:9" x14ac:dyDescent="0.25">
      <c r="A10" t="s">
        <v>25</v>
      </c>
      <c r="B10" t="s">
        <v>24</v>
      </c>
      <c r="C10" t="s">
        <v>24</v>
      </c>
      <c r="D10" t="s">
        <v>24</v>
      </c>
      <c r="E10" t="s">
        <v>24</v>
      </c>
      <c r="F10" t="s">
        <v>24</v>
      </c>
      <c r="G10" t="s">
        <v>24</v>
      </c>
      <c r="H10" t="s">
        <v>24</v>
      </c>
      <c r="I10" t="s">
        <v>24</v>
      </c>
    </row>
    <row r="11" spans="1:9" x14ac:dyDescent="0.25">
      <c r="A11" t="s">
        <v>321</v>
      </c>
      <c r="B11" t="s">
        <v>24</v>
      </c>
      <c r="C11" t="s">
        <v>24</v>
      </c>
      <c r="D11" t="s">
        <v>24</v>
      </c>
      <c r="E11" t="s">
        <v>24</v>
      </c>
      <c r="F11" t="s">
        <v>24</v>
      </c>
      <c r="G11" t="s">
        <v>24</v>
      </c>
      <c r="H11" t="s">
        <v>24</v>
      </c>
      <c r="I11" t="s">
        <v>24</v>
      </c>
    </row>
    <row r="12" spans="1:9" x14ac:dyDescent="0.25">
      <c r="A12" t="s">
        <v>322</v>
      </c>
      <c r="B12" t="s">
        <v>24</v>
      </c>
      <c r="C12" t="s">
        <v>24</v>
      </c>
      <c r="D12" t="s">
        <v>24</v>
      </c>
      <c r="E12" t="s">
        <v>24</v>
      </c>
      <c r="F12" t="s">
        <v>24</v>
      </c>
      <c r="G12" t="s">
        <v>24</v>
      </c>
      <c r="H12" t="s">
        <v>24</v>
      </c>
      <c r="I12" t="s">
        <v>24</v>
      </c>
    </row>
    <row r="13" spans="1:9" x14ac:dyDescent="0.25">
      <c r="A13" t="s">
        <v>323</v>
      </c>
      <c r="B13" s="33">
        <f>'Income Statement'!B15/'Income Statement'!B5</f>
        <v>0.9997309580377322</v>
      </c>
      <c r="C13" s="33">
        <f>'Income Statement'!C15/'Income Statement'!C5</f>
        <v>0.9993252174254021</v>
      </c>
      <c r="D13" s="33">
        <f>'Income Statement'!D15/'Income Statement'!D5</f>
        <v>0.9999024498819093</v>
      </c>
      <c r="E13" t="s">
        <v>24</v>
      </c>
      <c r="F13" t="s">
        <v>24</v>
      </c>
      <c r="G13" t="s">
        <v>24</v>
      </c>
      <c r="H13" t="s">
        <v>24</v>
      </c>
      <c r="I13" t="s">
        <v>24</v>
      </c>
    </row>
    <row r="14" spans="1:9" x14ac:dyDescent="0.25">
      <c r="A14" t="s">
        <v>324</v>
      </c>
      <c r="B14" s="33">
        <f>'Income Statement'!B16/'Income Statement'!B5</f>
        <v>0.38751769468290304</v>
      </c>
      <c r="C14" s="33">
        <f>'Income Statement'!C16/'Income Statement'!C5</f>
        <v>0.4047192299962911</v>
      </c>
      <c r="D14" s="33">
        <f>'Income Statement'!D16/'Income Statement'!D5</f>
        <v>0.39385516692748723</v>
      </c>
      <c r="E14" t="s">
        <v>24</v>
      </c>
      <c r="F14" t="s">
        <v>24</v>
      </c>
      <c r="G14" t="s">
        <v>24</v>
      </c>
      <c r="H14" t="s">
        <v>24</v>
      </c>
      <c r="I14" t="s">
        <v>24</v>
      </c>
    </row>
    <row r="15" spans="1:9" x14ac:dyDescent="0.25">
      <c r="A15" t="s">
        <v>101</v>
      </c>
      <c r="B15" s="33">
        <f>'Income Statement'!B18/'Income Statement'!B5</f>
        <v>0.3994631578075978</v>
      </c>
      <c r="C15" s="33">
        <f>'Income Statement'!C18/'Income Statement'!C5</f>
        <v>0.3604580678997923</v>
      </c>
      <c r="D15" s="33">
        <f>'Income Statement'!D18/'Income Statement'!D5</f>
        <v>0.3544806417973403</v>
      </c>
      <c r="E15" t="s">
        <v>24</v>
      </c>
      <c r="F15" t="s">
        <v>24</v>
      </c>
      <c r="G15" t="s">
        <v>24</v>
      </c>
      <c r="H15" t="s">
        <v>24</v>
      </c>
      <c r="I15" t="s">
        <v>24</v>
      </c>
    </row>
    <row r="16" spans="1:9" x14ac:dyDescent="0.25">
      <c r="A16" t="s">
        <v>325</v>
      </c>
      <c r="B16" s="33">
        <f>'Income Statement'!B19/'Income Statement'!B5</f>
        <v>0.10054718996018179</v>
      </c>
      <c r="C16" s="33">
        <f>'Income Statement'!C19/'Income Statement'!C5</f>
        <v>0.08659764169208674</v>
      </c>
      <c r="D16" s="33">
        <f>'Income Statement'!D19/'Income Statement'!D5</f>
        <v>0.08909073672322283</v>
      </c>
      <c r="E16" t="s">
        <v>24</v>
      </c>
      <c r="F16" t="s">
        <v>24</v>
      </c>
      <c r="G16" t="s">
        <v>24</v>
      </c>
      <c r="H16" t="s">
        <v>24</v>
      </c>
      <c r="I16" t="s">
        <v>24</v>
      </c>
    </row>
    <row r="17" spans="1:9" x14ac:dyDescent="0.25">
      <c r="A17" t="s">
        <v>27</v>
      </c>
      <c r="B17" s="33">
        <f>'Income Statement'!B20/'Income Statement'!B5</f>
        <v>0.2990753234712208</v>
      </c>
      <c r="C17" s="33">
        <f>'Income Statement'!C20/'Income Statement'!C5</f>
        <v>0.271837712340025</v>
      </c>
      <c r="D17" s="33">
        <f>'Income Statement'!D20/'Income Statement'!D5</f>
        <v>0.2612886782783366</v>
      </c>
      <c r="E17" t="s">
        <v>24</v>
      </c>
      <c r="F17" t="s">
        <v>24</v>
      </c>
      <c r="G17" t="s">
        <v>24</v>
      </c>
      <c r="H17" t="s">
        <v>24</v>
      </c>
      <c r="I17" t="s">
        <v>24</v>
      </c>
    </row>
    <row r="19" spans="1:9" x14ac:dyDescent="0.25">
      <c r="A19" s="3" t="s">
        <v>326</v>
      </c>
      <c r="B19" s="4"/>
      <c r="C19" s="4"/>
      <c r="D19" s="4"/>
      <c r="E19" s="4"/>
      <c r="F19" s="4"/>
      <c r="G19" s="4"/>
      <c r="H19" s="4"/>
      <c r="I19" s="4"/>
    </row>
    <row r="20" spans="1:9" x14ac:dyDescent="0.25">
      <c r="A20" s="9" t="s">
        <v>327</v>
      </c>
      <c r="B20" s="10" t="s">
        <v>14</v>
      </c>
      <c r="C20" s="10" t="s">
        <v>15</v>
      </c>
      <c r="D20" s="10" t="s">
        <v>16</v>
      </c>
      <c r="E20" s="10" t="s">
        <v>17</v>
      </c>
      <c r="F20" s="10" t="s">
        <v>18</v>
      </c>
      <c r="G20" s="10" t="s">
        <v>19</v>
      </c>
      <c r="H20" s="10" t="s">
        <v>20</v>
      </c>
      <c r="I20" s="10" t="s">
        <v>21</v>
      </c>
    </row>
    <row r="21" spans="1:9" x14ac:dyDescent="0.25">
      <c r="A21" t="s">
        <v>328</v>
      </c>
      <c r="B21" t="s">
        <v>24</v>
      </c>
      <c r="C21" t="s">
        <v>24</v>
      </c>
      <c r="D21" t="s">
        <v>24</v>
      </c>
      <c r="E21" t="s">
        <v>24</v>
      </c>
      <c r="F21" t="s">
        <v>24</v>
      </c>
      <c r="G21" t="s">
        <v>24</v>
      </c>
      <c r="H21" t="s">
        <v>24</v>
      </c>
      <c r="I21" t="s">
        <v>24</v>
      </c>
    </row>
    <row r="22" spans="1:9" x14ac:dyDescent="0.25">
      <c r="A22" t="s">
        <v>329</v>
      </c>
      <c r="B22" t="s">
        <v>24</v>
      </c>
      <c r="C22" t="s">
        <v>24</v>
      </c>
      <c r="D22" t="s">
        <v>24</v>
      </c>
      <c r="E22" t="s">
        <v>24</v>
      </c>
      <c r="F22" t="s">
        <v>24</v>
      </c>
      <c r="G22" t="s">
        <v>24</v>
      </c>
      <c r="H22" t="s">
        <v>24</v>
      </c>
      <c r="I22" t="s">
        <v>24</v>
      </c>
    </row>
    <row r="23" spans="1:9" x14ac:dyDescent="0.25">
      <c r="A23" t="s">
        <v>330</v>
      </c>
      <c r="B23" t="s">
        <v>24</v>
      </c>
      <c r="C23" t="s">
        <v>24</v>
      </c>
      <c r="D23" t="s">
        <v>24</v>
      </c>
      <c r="E23" t="s">
        <v>24</v>
      </c>
      <c r="F23" t="s">
        <v>24</v>
      </c>
      <c r="G23" t="s">
        <v>24</v>
      </c>
      <c r="H23" t="s">
        <v>24</v>
      </c>
      <c r="I23" t="s">
        <v>24</v>
      </c>
    </row>
    <row r="24" spans="1:9" x14ac:dyDescent="0.25">
      <c r="A24" t="s">
        <v>331</v>
      </c>
      <c r="B24" t="s">
        <v>24</v>
      </c>
      <c r="C24" t="s">
        <v>24</v>
      </c>
      <c r="D24" t="s">
        <v>24</v>
      </c>
      <c r="E24" t="s">
        <v>24</v>
      </c>
      <c r="F24" t="s">
        <v>24</v>
      </c>
      <c r="G24" t="s">
        <v>24</v>
      </c>
      <c r="H24" t="s">
        <v>24</v>
      </c>
      <c r="I24" t="s">
        <v>24</v>
      </c>
    </row>
    <row r="25" spans="1:9" x14ac:dyDescent="0.25">
      <c r="A25" t="s">
        <v>332</v>
      </c>
      <c r="B25" t="s">
        <v>24</v>
      </c>
      <c r="C25" t="s">
        <v>24</v>
      </c>
      <c r="D25" t="s">
        <v>24</v>
      </c>
      <c r="E25" t="s">
        <v>24</v>
      </c>
      <c r="F25" t="s">
        <v>24</v>
      </c>
      <c r="G25" t="s">
        <v>24</v>
      </c>
      <c r="H25" t="s">
        <v>24</v>
      </c>
      <c r="I25" t="s">
        <v>24</v>
      </c>
    </row>
    <row r="26" spans="1:9" x14ac:dyDescent="0.25">
      <c r="A26" t="s">
        <v>333</v>
      </c>
      <c r="B26" t="s">
        <v>24</v>
      </c>
      <c r="C26" t="s">
        <v>24</v>
      </c>
      <c r="D26" t="s">
        <v>24</v>
      </c>
      <c r="E26" t="s">
        <v>24</v>
      </c>
      <c r="F26" t="s">
        <v>24</v>
      </c>
      <c r="G26" t="s">
        <v>24</v>
      </c>
      <c r="H26" t="s">
        <v>24</v>
      </c>
      <c r="I26" t="s">
        <v>24</v>
      </c>
    </row>
    <row r="27" spans="1:9" x14ac:dyDescent="0.25">
      <c r="A27" t="s">
        <v>334</v>
      </c>
      <c r="B27" t="s">
        <v>24</v>
      </c>
      <c r="C27" t="s">
        <v>24</v>
      </c>
      <c r="D27" t="s">
        <v>24</v>
      </c>
      <c r="E27" t="s">
        <v>24</v>
      </c>
      <c r="F27" t="s">
        <v>24</v>
      </c>
      <c r="G27" t="s">
        <v>24</v>
      </c>
      <c r="H27" t="s">
        <v>24</v>
      </c>
      <c r="I27" t="s">
        <v>24</v>
      </c>
    </row>
    <row r="28" spans="1:9" x14ac:dyDescent="0.25">
      <c r="A28" t="s">
        <v>335</v>
      </c>
      <c r="B28" s="33">
        <f>'Balance Sheet'!B18/'Balance Sheet'!B18</f>
        <v>1</v>
      </c>
      <c r="C28" s="33">
        <f>'Balance Sheet'!C18/'Balance Sheet'!C18</f>
        <v>1</v>
      </c>
      <c r="D28" s="33">
        <f>'Balance Sheet'!D18/'Balance Sheet'!D18</f>
        <v>1</v>
      </c>
      <c r="E28" t="s">
        <v>24</v>
      </c>
      <c r="F28" t="s">
        <v>24</v>
      </c>
      <c r="G28" t="s">
        <v>24</v>
      </c>
      <c r="H28" t="s">
        <v>24</v>
      </c>
      <c r="I28" t="s">
        <v>24</v>
      </c>
    </row>
    <row r="29" spans="1:9" x14ac:dyDescent="0.25">
      <c r="A29" t="s">
        <v>336</v>
      </c>
      <c r="B29" t="s">
        <v>24</v>
      </c>
      <c r="C29" t="s">
        <v>24</v>
      </c>
      <c r="D29" t="s">
        <v>24</v>
      </c>
      <c r="E29" t="s">
        <v>24</v>
      </c>
      <c r="F29" t="s">
        <v>24</v>
      </c>
      <c r="G29" t="s">
        <v>24</v>
      </c>
      <c r="H29" t="s">
        <v>24</v>
      </c>
      <c r="I29" t="s">
        <v>24</v>
      </c>
    </row>
    <row r="30" spans="1:9" x14ac:dyDescent="0.25">
      <c r="A30" t="s">
        <v>337</v>
      </c>
      <c r="B30" t="s">
        <v>24</v>
      </c>
      <c r="C30" t="s">
        <v>24</v>
      </c>
      <c r="D30" t="s">
        <v>24</v>
      </c>
      <c r="E30" t="s">
        <v>24</v>
      </c>
      <c r="F30" t="s">
        <v>24</v>
      </c>
      <c r="G30" t="s">
        <v>24</v>
      </c>
      <c r="H30" t="s">
        <v>24</v>
      </c>
      <c r="I30" t="s">
        <v>24</v>
      </c>
    </row>
    <row r="31" spans="1:9" x14ac:dyDescent="0.25">
      <c r="A31" t="s">
        <v>338</v>
      </c>
      <c r="B31" t="s">
        <v>24</v>
      </c>
      <c r="C31" t="s">
        <v>24</v>
      </c>
      <c r="D31" t="s">
        <v>24</v>
      </c>
      <c r="E31" t="s">
        <v>24</v>
      </c>
      <c r="F31" t="s">
        <v>24</v>
      </c>
      <c r="G31" t="s">
        <v>24</v>
      </c>
      <c r="H31" t="s">
        <v>24</v>
      </c>
      <c r="I31" t="s">
        <v>24</v>
      </c>
    </row>
    <row r="32" spans="1:9" x14ac:dyDescent="0.25">
      <c r="A32" t="s">
        <v>339</v>
      </c>
      <c r="B32" t="s">
        <v>24</v>
      </c>
      <c r="C32" t="s">
        <v>24</v>
      </c>
      <c r="D32" t="s">
        <v>24</v>
      </c>
      <c r="E32" t="s">
        <v>24</v>
      </c>
      <c r="F32" t="s">
        <v>24</v>
      </c>
      <c r="G32" t="s">
        <v>24</v>
      </c>
      <c r="H32" t="s">
        <v>24</v>
      </c>
      <c r="I32" t="s">
        <v>24</v>
      </c>
    </row>
    <row r="33" spans="1:9" x14ac:dyDescent="0.25">
      <c r="A33" t="s">
        <v>340</v>
      </c>
      <c r="B33" s="33">
        <f>'Balance Sheet'!B36/'Balance Sheet'!B18</f>
        <v>0.20411740408834156</v>
      </c>
      <c r="C33" s="33">
        <f>'Balance Sheet'!C36/'Balance Sheet'!C18</f>
        <v>0.20743904877385294</v>
      </c>
      <c r="D33" s="33">
        <f>'Balance Sheet'!D36/'Balance Sheet'!D18</f>
        <v>0.2035869477477014</v>
      </c>
      <c r="E33" t="s">
        <v>24</v>
      </c>
      <c r="F33" t="s">
        <v>24</v>
      </c>
      <c r="G33" t="s">
        <v>24</v>
      </c>
      <c r="H33" t="s">
        <v>24</v>
      </c>
      <c r="I33" t="s">
        <v>24</v>
      </c>
    </row>
    <row r="35" spans="1:9" x14ac:dyDescent="0.25">
      <c r="A35" s="3" t="s">
        <v>341</v>
      </c>
      <c r="B35" s="4"/>
      <c r="C35" s="4"/>
      <c r="D35" s="4"/>
      <c r="E35" s="4"/>
      <c r="F35" s="4"/>
      <c r="G35" s="4"/>
      <c r="H35" s="4"/>
      <c r="I35" s="4"/>
    </row>
    <row r="36" spans="1:9" x14ac:dyDescent="0.25">
      <c r="A36" s="9"/>
      <c r="B36" s="10" t="s">
        <v>14</v>
      </c>
      <c r="C36" s="10" t="s">
        <v>15</v>
      </c>
      <c r="D36" s="10" t="s">
        <v>16</v>
      </c>
      <c r="E36" s="10" t="s">
        <v>342</v>
      </c>
      <c r="F36" s="10" t="s">
        <v>343</v>
      </c>
      <c r="G36" s="10" t="s">
        <v>344</v>
      </c>
      <c r="H36" s="10" t="s">
        <v>345</v>
      </c>
      <c r="I36" s="10" t="s">
        <v>346</v>
      </c>
    </row>
    <row r="37" spans="1:9" x14ac:dyDescent="0.25">
      <c r="A37" t="s">
        <v>31</v>
      </c>
      <c r="B37" t="s">
        <v>24</v>
      </c>
      <c r="C37" t="s">
        <v>24</v>
      </c>
      <c r="D37" t="s">
        <v>24</v>
      </c>
      <c r="E37" t="s">
        <v>24</v>
      </c>
      <c r="F37" t="s">
        <v>24</v>
      </c>
      <c r="G37" t="s">
        <v>24</v>
      </c>
      <c r="H37" t="s">
        <v>24</v>
      </c>
      <c r="I37" t="s">
        <v>24</v>
      </c>
    </row>
    <row r="38" spans="1:9" x14ac:dyDescent="0.25">
      <c r="A38" t="s">
        <v>347</v>
      </c>
      <c r="B38" t="s">
        <v>24</v>
      </c>
      <c r="C38" t="s">
        <v>24</v>
      </c>
      <c r="D38" t="s">
        <v>24</v>
      </c>
      <c r="E38" t="s">
        <v>24</v>
      </c>
      <c r="F38" t="s">
        <v>24</v>
      </c>
      <c r="G38" t="s">
        <v>24</v>
      </c>
      <c r="H38" t="s">
        <v>24</v>
      </c>
      <c r="I38" t="s">
        <v>24</v>
      </c>
    </row>
    <row r="39" spans="1:9" x14ac:dyDescent="0.25">
      <c r="A39" t="s">
        <v>348</v>
      </c>
      <c r="B39" t="s">
        <v>24</v>
      </c>
      <c r="C39" t="s">
        <v>24</v>
      </c>
      <c r="D39" t="s">
        <v>24</v>
      </c>
      <c r="E39" t="s">
        <v>24</v>
      </c>
      <c r="F39" t="s">
        <v>24</v>
      </c>
      <c r="G39" t="s">
        <v>24</v>
      </c>
      <c r="H39" t="s">
        <v>24</v>
      </c>
      <c r="I39" t="s">
        <v>24</v>
      </c>
    </row>
    <row r="40" spans="1:9" x14ac:dyDescent="0.25">
      <c r="A40" t="s">
        <v>349</v>
      </c>
      <c r="B40" t="s">
        <v>24</v>
      </c>
      <c r="C40" t="s">
        <v>24</v>
      </c>
      <c r="D40" t="s">
        <v>24</v>
      </c>
      <c r="E40" t="s">
        <v>24</v>
      </c>
      <c r="F40" t="s">
        <v>24</v>
      </c>
      <c r="G40" t="s">
        <v>24</v>
      </c>
      <c r="H40" t="s">
        <v>24</v>
      </c>
      <c r="I40" t="s">
        <v>24</v>
      </c>
    </row>
    <row r="41" spans="1:9" x14ac:dyDescent="0.25">
      <c r="A41" t="s">
        <v>350</v>
      </c>
      <c r="B41" t="s">
        <v>24</v>
      </c>
      <c r="C41" t="s">
        <v>24</v>
      </c>
      <c r="D41" t="s">
        <v>24</v>
      </c>
      <c r="E41" t="s">
        <v>24</v>
      </c>
      <c r="F41" t="s">
        <v>24</v>
      </c>
      <c r="G41" t="s">
        <v>24</v>
      </c>
      <c r="H41" t="s">
        <v>24</v>
      </c>
      <c r="I41" t="s">
        <v>24</v>
      </c>
    </row>
    <row r="42" spans="1:9" x14ac:dyDescent="0.25">
      <c r="A42" t="s">
        <v>351</v>
      </c>
      <c r="B42" t="s">
        <v>24</v>
      </c>
      <c r="C42" t="s">
        <v>24</v>
      </c>
      <c r="D42" t="s">
        <v>24</v>
      </c>
      <c r="E42" t="s">
        <v>24</v>
      </c>
      <c r="F42" t="s">
        <v>24</v>
      </c>
      <c r="G42" t="s">
        <v>24</v>
      </c>
      <c r="H42" t="s">
        <v>24</v>
      </c>
      <c r="I42" t="s">
        <v>24</v>
      </c>
    </row>
    <row r="43" spans="1:9" x14ac:dyDescent="0.25">
      <c r="A43" t="s">
        <v>352</v>
      </c>
      <c r="B43" t="s">
        <v>24</v>
      </c>
      <c r="C43" t="s">
        <v>24</v>
      </c>
      <c r="D43" t="s">
        <v>24</v>
      </c>
      <c r="E43" t="s">
        <v>24</v>
      </c>
      <c r="F43" t="s">
        <v>24</v>
      </c>
      <c r="G43" t="s">
        <v>24</v>
      </c>
      <c r="H43" t="s">
        <v>24</v>
      </c>
      <c r="I43" t="s">
        <v>24</v>
      </c>
    </row>
    <row r="44" spans="1:9" x14ac:dyDescent="0.25">
      <c r="A44" s="5" t="s">
        <v>353</v>
      </c>
      <c r="B44" t="s">
        <v>24</v>
      </c>
      <c r="C44" t="s">
        <v>24</v>
      </c>
      <c r="D44" t="s">
        <v>24</v>
      </c>
      <c r="E44" t="s">
        <v>24</v>
      </c>
      <c r="F44" t="s">
        <v>24</v>
      </c>
      <c r="G44" t="s">
        <v>24</v>
      </c>
      <c r="H44" t="s">
        <v>24</v>
      </c>
      <c r="I44" t="s">
        <v>24</v>
      </c>
    </row>
    <row r="46" spans="1:8" x14ac:dyDescent="0.25">
      <c r="A46" s="3" t="s">
        <v>354</v>
      </c>
      <c r="B46" s="4"/>
      <c r="C46" s="4"/>
      <c r="D46" s="4"/>
      <c r="E46" s="4"/>
      <c r="F46" s="4"/>
      <c r="G46" s="4"/>
      <c r="H46" s="4"/>
    </row>
    <row r="47" spans="1:3" x14ac:dyDescent="0.25">
      <c r="A47" s="5" t="s">
        <v>355</v>
      </c>
      <c r="B47" t="s">
        <v>24</v>
      </c>
      <c r="C47" s="2" t="s">
        <v>356</v>
      </c>
    </row>
    <row r="48" spans="1:3" x14ac:dyDescent="0.25">
      <c r="A48" s="5" t="s">
        <v>357</v>
      </c>
      <c r="B48" t="s">
        <v>24</v>
      </c>
      <c r="C48" s="2" t="s">
        <v>24</v>
      </c>
    </row>
    <row r="49" spans="1:3" x14ac:dyDescent="0.25">
      <c r="A49" s="5" t="s">
        <v>358</v>
      </c>
      <c r="B49" t="s">
        <v>24</v>
      </c>
      <c r="C49" s="2" t="s">
        <v>359</v>
      </c>
    </row>
    <row r="50" spans="1:1" x14ac:dyDescent="0.25">
      <c r="A50" s="2" t="s">
        <v>360</v>
      </c>
    </row>
    <row r="52" spans="1:8" x14ac:dyDescent="0.25">
      <c r="A52" s="3" t="s">
        <v>361</v>
      </c>
      <c r="B52" s="4"/>
      <c r="C52" s="4"/>
      <c r="D52" s="4"/>
      <c r="E52" s="4"/>
      <c r="F52" s="4"/>
      <c r="G52" s="4"/>
      <c r="H52" s="4"/>
    </row>
    <row r="53" spans="1:5" x14ac:dyDescent="0.25">
      <c r="A53" s="9" t="s">
        <v>362</v>
      </c>
      <c r="B53" s="10" t="s">
        <v>363</v>
      </c>
      <c r="C53" s="10" t="s">
        <v>364</v>
      </c>
      <c r="D53" s="10" t="s">
        <v>365</v>
      </c>
      <c r="E53" s="10" t="s">
        <v>366</v>
      </c>
    </row>
    <row r="54" spans="1:5" x14ac:dyDescent="0.25">
      <c r="A54" t="s">
        <v>367</v>
      </c>
      <c r="B54" t="s">
        <v>24</v>
      </c>
      <c r="C54" s="5" t="s">
        <v>368</v>
      </c>
      <c r="D54" t="s">
        <v>369</v>
      </c>
      <c r="E54" t="s">
        <v>370</v>
      </c>
    </row>
    <row r="55" spans="1:5" x14ac:dyDescent="0.25">
      <c r="A55" t="s">
        <v>371</v>
      </c>
      <c r="B55" t="s">
        <v>24</v>
      </c>
      <c r="C55" s="5" t="s">
        <v>368</v>
      </c>
      <c r="D55" t="s">
        <v>372</v>
      </c>
      <c r="E55" t="s">
        <v>370</v>
      </c>
    </row>
    <row r="56" spans="1:5" x14ac:dyDescent="0.25">
      <c r="A56" t="s">
        <v>373</v>
      </c>
      <c r="B56" t="s">
        <v>24</v>
      </c>
      <c r="C56" s="5" t="s">
        <v>368</v>
      </c>
      <c r="D56" t="s">
        <v>374</v>
      </c>
      <c r="E56" t="s">
        <v>370</v>
      </c>
    </row>
    <row r="57" spans="1:5" x14ac:dyDescent="0.25">
      <c r="A57" t="s">
        <v>375</v>
      </c>
      <c r="B57" t="s">
        <v>24</v>
      </c>
      <c r="C57" s="5" t="s">
        <v>368</v>
      </c>
      <c r="D57" t="s">
        <v>376</v>
      </c>
      <c r="E57" t="s">
        <v>370</v>
      </c>
    </row>
    <row r="58" spans="1:5" x14ac:dyDescent="0.25">
      <c r="A58" t="s">
        <v>377</v>
      </c>
      <c r="B58" t="s">
        <v>24</v>
      </c>
      <c r="C58" s="5" t="s">
        <v>368</v>
      </c>
      <c r="D58" t="s">
        <v>378</v>
      </c>
      <c r="E58" t="s">
        <v>370</v>
      </c>
    </row>
    <row r="59" spans="1:5" x14ac:dyDescent="0.25">
      <c r="A59" t="s">
        <v>379</v>
      </c>
      <c r="B59" t="s">
        <v>24</v>
      </c>
      <c r="C59" s="5" t="s">
        <v>380</v>
      </c>
      <c r="D59" t="s">
        <v>381</v>
      </c>
      <c r="E59" t="s">
        <v>382</v>
      </c>
    </row>
    <row r="60" spans="1:5" x14ac:dyDescent="0.25">
      <c r="A60" t="s">
        <v>383</v>
      </c>
      <c r="B60" t="s">
        <v>24</v>
      </c>
      <c r="C60" s="5" t="s">
        <v>380</v>
      </c>
      <c r="D60" t="s">
        <v>384</v>
      </c>
      <c r="E60" t="s">
        <v>385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workbookViewId="0">
      <pane xSplit="1" ySplit="3" topLeftCell="B4" activePane="bottomRight" state="frozen"/>
      <selection pane="bottomRight"/>
    </sheetView>
  </sheetViews>
  <sheetFormatPr defaultRowHeight="15" outlineLevelRow="0" outlineLevelCol="0" x14ac:dyDescent="55"/>
  <cols>
    <col min="1" max="1" width="64" customWidth="1"/>
    <col min="2" max="10" width="14" customWidth="1"/>
  </cols>
  <sheetData>
    <row r="1" spans="1:1" x14ac:dyDescent="0.25">
      <c r="A1" s="1" t="s">
        <v>386</v>
      </c>
    </row>
    <row r="2" spans="1:1" x14ac:dyDescent="0.25">
      <c r="A2" s="2" t="s">
        <v>387</v>
      </c>
    </row>
    <row r="4" spans="1:9" x14ac:dyDescent="0.25">
      <c r="A4" s="3" t="s">
        <v>388</v>
      </c>
      <c r="B4" s="4"/>
      <c r="C4" s="4"/>
      <c r="D4" s="4"/>
      <c r="E4" s="4"/>
      <c r="F4" s="4"/>
      <c r="G4" s="4"/>
      <c r="H4" s="4"/>
      <c r="I4" s="4"/>
    </row>
    <row r="5" spans="1:9" x14ac:dyDescent="0.25">
      <c r="A5" s="9"/>
      <c r="B5" s="10" t="s">
        <v>14</v>
      </c>
      <c r="C5" s="10" t="s">
        <v>15</v>
      </c>
      <c r="D5" s="10" t="s">
        <v>16</v>
      </c>
      <c r="E5" s="10" t="s">
        <v>17</v>
      </c>
      <c r="F5" s="10" t="s">
        <v>18</v>
      </c>
      <c r="G5" s="10" t="s">
        <v>19</v>
      </c>
      <c r="H5" s="10" t="s">
        <v>20</v>
      </c>
      <c r="I5" s="10" t="s">
        <v>21</v>
      </c>
    </row>
    <row r="6" spans="1:9" x14ac:dyDescent="0.25">
      <c r="A6" t="s">
        <v>389</v>
      </c>
      <c r="B6" t="s">
        <v>24</v>
      </c>
      <c r="C6" t="s">
        <v>24</v>
      </c>
      <c r="D6" t="s">
        <v>24</v>
      </c>
      <c r="E6" t="s">
        <v>24</v>
      </c>
      <c r="F6" t="s">
        <v>24</v>
      </c>
      <c r="G6" t="s">
        <v>24</v>
      </c>
      <c r="H6" t="s">
        <v>24</v>
      </c>
      <c r="I6" t="s">
        <v>24</v>
      </c>
    </row>
    <row r="7" spans="1:9" x14ac:dyDescent="0.25">
      <c r="A7" t="s">
        <v>390</v>
      </c>
      <c r="B7" t="s">
        <v>24</v>
      </c>
      <c r="C7" t="s">
        <v>24</v>
      </c>
      <c r="D7" t="s">
        <v>24</v>
      </c>
      <c r="E7" t="s">
        <v>24</v>
      </c>
      <c r="F7" t="s">
        <v>24</v>
      </c>
      <c r="G7" t="s">
        <v>24</v>
      </c>
      <c r="H7" t="s">
        <v>24</v>
      </c>
      <c r="I7" t="s">
        <v>24</v>
      </c>
    </row>
    <row r="8" spans="1:9" x14ac:dyDescent="0.25">
      <c r="A8" t="s">
        <v>321</v>
      </c>
      <c r="B8" t="s">
        <v>24</v>
      </c>
      <c r="C8" t="s">
        <v>24</v>
      </c>
      <c r="D8" t="s">
        <v>24</v>
      </c>
      <c r="E8" t="s">
        <v>24</v>
      </c>
      <c r="F8" t="s">
        <v>24</v>
      </c>
      <c r="G8" t="s">
        <v>24</v>
      </c>
      <c r="H8" t="s">
        <v>24</v>
      </c>
      <c r="I8" t="s">
        <v>24</v>
      </c>
    </row>
    <row r="9" spans="1:9" x14ac:dyDescent="0.25">
      <c r="A9" t="s">
        <v>391</v>
      </c>
      <c r="B9" t="s">
        <v>24</v>
      </c>
      <c r="C9" t="s">
        <v>24</v>
      </c>
      <c r="D9" t="s">
        <v>24</v>
      </c>
      <c r="E9" t="s">
        <v>24</v>
      </c>
      <c r="F9" t="s">
        <v>24</v>
      </c>
      <c r="G9" t="s">
        <v>24</v>
      </c>
      <c r="H9" t="s">
        <v>24</v>
      </c>
      <c r="I9" t="s">
        <v>24</v>
      </c>
    </row>
    <row r="10" spans="1:9" x14ac:dyDescent="0.25">
      <c r="A10" t="s">
        <v>392</v>
      </c>
      <c r="B10" t="s">
        <v>24</v>
      </c>
      <c r="C10" t="s">
        <v>24</v>
      </c>
      <c r="D10" t="s">
        <v>24</v>
      </c>
      <c r="E10" t="s">
        <v>24</v>
      </c>
      <c r="F10" t="s">
        <v>24</v>
      </c>
      <c r="G10" t="s">
        <v>24</v>
      </c>
      <c r="H10" t="s">
        <v>24</v>
      </c>
      <c r="I10" t="s">
        <v>24</v>
      </c>
    </row>
    <row r="11" spans="1:9" x14ac:dyDescent="0.25">
      <c r="A11" t="s">
        <v>393</v>
      </c>
      <c r="B11" t="s">
        <v>24</v>
      </c>
      <c r="C11" t="s">
        <v>24</v>
      </c>
      <c r="D11" t="s">
        <v>24</v>
      </c>
      <c r="E11" t="s">
        <v>24</v>
      </c>
      <c r="F11" t="s">
        <v>24</v>
      </c>
      <c r="G11" t="s">
        <v>24</v>
      </c>
      <c r="H11" t="s">
        <v>24</v>
      </c>
      <c r="I11" t="s">
        <v>24</v>
      </c>
    </row>
    <row r="13" spans="1:9" x14ac:dyDescent="0.25">
      <c r="A13" s="3" t="s">
        <v>394</v>
      </c>
      <c r="B13" s="4"/>
      <c r="C13" s="4"/>
      <c r="D13" s="4"/>
      <c r="E13" s="4"/>
      <c r="F13" s="4"/>
      <c r="G13" s="4"/>
      <c r="H13" s="4"/>
      <c r="I13" s="4"/>
    </row>
    <row r="14" spans="1:9" x14ac:dyDescent="0.25">
      <c r="A14" s="9"/>
      <c r="B14" s="10" t="s">
        <v>14</v>
      </c>
      <c r="C14" s="10" t="s">
        <v>15</v>
      </c>
      <c r="D14" s="10" t="s">
        <v>16</v>
      </c>
      <c r="E14" s="10" t="s">
        <v>17</v>
      </c>
      <c r="F14" s="10" t="s">
        <v>18</v>
      </c>
      <c r="G14" s="10" t="s">
        <v>19</v>
      </c>
      <c r="H14" s="10" t="s">
        <v>20</v>
      </c>
      <c r="I14" s="10" t="s">
        <v>21</v>
      </c>
    </row>
    <row r="15" spans="1:9" x14ac:dyDescent="0.25">
      <c r="A15" t="s">
        <v>329</v>
      </c>
      <c r="B15" t="s">
        <v>24</v>
      </c>
      <c r="C15" t="s">
        <v>24</v>
      </c>
      <c r="D15" t="s">
        <v>24</v>
      </c>
      <c r="E15" t="s">
        <v>24</v>
      </c>
      <c r="F15" t="s">
        <v>24</v>
      </c>
      <c r="G15" t="s">
        <v>24</v>
      </c>
      <c r="H15" t="s">
        <v>24</v>
      </c>
      <c r="I15" t="s">
        <v>24</v>
      </c>
    </row>
    <row r="16" spans="1:9" x14ac:dyDescent="0.25">
      <c r="A16" t="s">
        <v>330</v>
      </c>
      <c r="B16" t="s">
        <v>24</v>
      </c>
      <c r="C16" t="s">
        <v>24</v>
      </c>
      <c r="D16" t="s">
        <v>24</v>
      </c>
      <c r="E16" t="s">
        <v>24</v>
      </c>
      <c r="F16" t="s">
        <v>24</v>
      </c>
      <c r="G16" t="s">
        <v>24</v>
      </c>
      <c r="H16" t="s">
        <v>24</v>
      </c>
      <c r="I16" t="s">
        <v>24</v>
      </c>
    </row>
    <row r="17" spans="1:9" x14ac:dyDescent="0.25">
      <c r="A17" t="s">
        <v>336</v>
      </c>
      <c r="B17" t="s">
        <v>24</v>
      </c>
      <c r="C17" t="s">
        <v>24</v>
      </c>
      <c r="D17" t="s">
        <v>24</v>
      </c>
      <c r="E17" t="s">
        <v>24</v>
      </c>
      <c r="F17" t="s">
        <v>24</v>
      </c>
      <c r="G17" t="s">
        <v>24</v>
      </c>
      <c r="H17" t="s">
        <v>24</v>
      </c>
      <c r="I17" t="s">
        <v>24</v>
      </c>
    </row>
    <row r="18" spans="1:9" x14ac:dyDescent="0.25">
      <c r="A18" s="5" t="s">
        <v>395</v>
      </c>
      <c r="B18" t="s">
        <v>24</v>
      </c>
      <c r="C18" t="s">
        <v>24</v>
      </c>
      <c r="D18" t="s">
        <v>24</v>
      </c>
      <c r="E18" t="s">
        <v>24</v>
      </c>
      <c r="F18" t="s">
        <v>24</v>
      </c>
      <c r="G18" t="s">
        <v>24</v>
      </c>
      <c r="H18" t="s">
        <v>24</v>
      </c>
      <c r="I18" t="s">
        <v>24</v>
      </c>
    </row>
    <row r="19" spans="1:9" x14ac:dyDescent="0.25">
      <c r="A19" t="s">
        <v>396</v>
      </c>
      <c r="B19" t="s">
        <v>24</v>
      </c>
      <c r="C19" t="s">
        <v>24</v>
      </c>
      <c r="D19" t="s">
        <v>24</v>
      </c>
      <c r="E19" t="s">
        <v>24</v>
      </c>
      <c r="F19" t="s">
        <v>24</v>
      </c>
      <c r="G19" t="s">
        <v>24</v>
      </c>
      <c r="H19" t="s">
        <v>24</v>
      </c>
      <c r="I19" t="s">
        <v>24</v>
      </c>
    </row>
    <row r="20" spans="1:9" x14ac:dyDescent="0.25">
      <c r="A20" t="s">
        <v>397</v>
      </c>
      <c r="B20" t="s">
        <v>24</v>
      </c>
      <c r="C20" t="s">
        <v>24</v>
      </c>
      <c r="D20" t="s">
        <v>24</v>
      </c>
      <c r="E20" t="s">
        <v>24</v>
      </c>
      <c r="F20" t="s">
        <v>24</v>
      </c>
      <c r="G20" t="s">
        <v>24</v>
      </c>
      <c r="H20" t="s">
        <v>24</v>
      </c>
      <c r="I20" t="s">
        <v>24</v>
      </c>
    </row>
    <row r="21" spans="1:9" x14ac:dyDescent="0.25">
      <c r="A21" t="s">
        <v>398</v>
      </c>
      <c r="B21" t="s">
        <v>24</v>
      </c>
      <c r="C21" t="s">
        <v>24</v>
      </c>
      <c r="D21" t="s">
        <v>24</v>
      </c>
      <c r="E21" t="s">
        <v>24</v>
      </c>
      <c r="F21" t="s">
        <v>24</v>
      </c>
      <c r="G21" t="s">
        <v>24</v>
      </c>
      <c r="H21" t="s">
        <v>24</v>
      </c>
      <c r="I21" t="s">
        <v>24</v>
      </c>
    </row>
    <row r="22" spans="1:1" x14ac:dyDescent="0.25">
      <c r="A22" s="2" t="s">
        <v>399</v>
      </c>
    </row>
    <row r="24" spans="1:9" x14ac:dyDescent="0.25">
      <c r="A24" s="3" t="s">
        <v>400</v>
      </c>
      <c r="B24" s="4"/>
      <c r="C24" s="4"/>
      <c r="D24" s="4"/>
      <c r="E24" s="4"/>
      <c r="F24" s="4"/>
      <c r="G24" s="4"/>
      <c r="H24" s="4"/>
      <c r="I24" s="4"/>
    </row>
    <row r="25" spans="1:9" x14ac:dyDescent="0.25">
      <c r="A25" s="9"/>
      <c r="B25" s="10" t="s">
        <v>14</v>
      </c>
      <c r="C25" s="10" t="s">
        <v>15</v>
      </c>
      <c r="D25" s="10" t="s">
        <v>16</v>
      </c>
      <c r="E25" s="10" t="s">
        <v>17</v>
      </c>
      <c r="F25" s="10" t="s">
        <v>18</v>
      </c>
      <c r="G25" s="10" t="s">
        <v>19</v>
      </c>
      <c r="H25" s="10" t="s">
        <v>20</v>
      </c>
      <c r="I25" s="10" t="s">
        <v>21</v>
      </c>
    </row>
    <row r="26" spans="1:9" x14ac:dyDescent="0.25">
      <c r="A26" t="s">
        <v>401</v>
      </c>
      <c r="B26" t="s">
        <v>24</v>
      </c>
      <c r="C26" t="s">
        <v>24</v>
      </c>
      <c r="D26" t="s">
        <v>24</v>
      </c>
      <c r="E26" t="s">
        <v>24</v>
      </c>
      <c r="F26" t="s">
        <v>24</v>
      </c>
      <c r="G26" t="s">
        <v>24</v>
      </c>
      <c r="H26" t="s">
        <v>24</v>
      </c>
      <c r="I26" t="s">
        <v>24</v>
      </c>
    </row>
    <row r="27" spans="1:9" x14ac:dyDescent="0.25">
      <c r="A27" s="5" t="s">
        <v>402</v>
      </c>
      <c r="B27" t="s">
        <v>24</v>
      </c>
      <c r="C27" t="s">
        <v>24</v>
      </c>
      <c r="D27" t="s">
        <v>24</v>
      </c>
      <c r="E27" t="s">
        <v>24</v>
      </c>
      <c r="F27" t="s">
        <v>24</v>
      </c>
      <c r="G27" t="s">
        <v>24</v>
      </c>
      <c r="H27" t="s">
        <v>24</v>
      </c>
      <c r="I27" t="s">
        <v>24</v>
      </c>
    </row>
    <row r="28" spans="1:9" x14ac:dyDescent="0.25">
      <c r="A28" t="s">
        <v>403</v>
      </c>
      <c r="B28" s="34">
        <f>ABS('Cash Flow'!B21)</f>
        <v>1814.6</v>
      </c>
      <c r="C28" s="34">
        <f>ABS('Cash Flow'!C21)</f>
        <v>2225.2</v>
      </c>
      <c r="D28" s="34">
        <f>ABS('Cash Flow'!D21)</f>
        <v>3476.6</v>
      </c>
      <c r="E28" t="s">
        <v>24</v>
      </c>
      <c r="F28" t="s">
        <v>24</v>
      </c>
      <c r="G28" t="s">
        <v>24</v>
      </c>
      <c r="H28" t="s">
        <v>24</v>
      </c>
      <c r="I28" t="s">
        <v>24</v>
      </c>
    </row>
    <row r="29" spans="1:9" x14ac:dyDescent="0.25">
      <c r="A29" t="s">
        <v>404</v>
      </c>
      <c r="B29" s="33">
        <f>B28/'Income Statement'!B20</f>
        <v>0.1255674269264836</v>
      </c>
      <c r="C29" s="33">
        <f>C28/'Income Statement'!C20</f>
        <v>0.13374364399139307</v>
      </c>
      <c r="D29" s="33">
        <f>D28/'Income Statement'!D20</f>
        <v>0.18281153049312732</v>
      </c>
      <c r="E29" t="s">
        <v>24</v>
      </c>
      <c r="F29" t="s">
        <v>24</v>
      </c>
      <c r="G29" t="s">
        <v>24</v>
      </c>
      <c r="H29" t="s">
        <v>24</v>
      </c>
      <c r="I29" t="s">
        <v>24</v>
      </c>
    </row>
    <row r="30" spans="1:9" x14ac:dyDescent="0.25">
      <c r="A30" t="s">
        <v>405</v>
      </c>
      <c r="B30" t="s">
        <v>24</v>
      </c>
      <c r="C30" t="s">
        <v>24</v>
      </c>
      <c r="D30" t="s">
        <v>24</v>
      </c>
      <c r="E30" t="s">
        <v>24</v>
      </c>
      <c r="F30" t="s">
        <v>24</v>
      </c>
      <c r="G30" t="s">
        <v>24</v>
      </c>
      <c r="H30" t="s">
        <v>24</v>
      </c>
      <c r="I30" t="s">
        <v>24</v>
      </c>
    </row>
    <row r="31" spans="1:9" x14ac:dyDescent="0.25">
      <c r="A31" t="s">
        <v>406</v>
      </c>
      <c r="B31" t="s">
        <v>24</v>
      </c>
      <c r="C31" t="s">
        <v>24</v>
      </c>
      <c r="D31" t="s">
        <v>24</v>
      </c>
      <c r="E31" t="s">
        <v>24</v>
      </c>
      <c r="F31" t="s">
        <v>24</v>
      </c>
      <c r="G31" t="s">
        <v>24</v>
      </c>
      <c r="H31" t="s">
        <v>24</v>
      </c>
      <c r="I31" t="s">
        <v>24</v>
      </c>
    </row>
    <row r="32" spans="1:9" x14ac:dyDescent="0.25">
      <c r="A32" t="s">
        <v>407</v>
      </c>
      <c r="B32" t="s">
        <v>24</v>
      </c>
      <c r="C32" t="s">
        <v>24</v>
      </c>
      <c r="D32" t="s">
        <v>24</v>
      </c>
      <c r="E32" t="s">
        <v>24</v>
      </c>
      <c r="F32" t="s">
        <v>24</v>
      </c>
      <c r="G32" t="s">
        <v>24</v>
      </c>
      <c r="H32" t="s">
        <v>24</v>
      </c>
      <c r="I32" t="s">
        <v>24</v>
      </c>
    </row>
    <row r="33" spans="1:9" x14ac:dyDescent="0.25">
      <c r="A33" t="s">
        <v>408</v>
      </c>
      <c r="B33" t="s">
        <v>24</v>
      </c>
      <c r="C33" t="s">
        <v>24</v>
      </c>
      <c r="D33" t="s">
        <v>24</v>
      </c>
      <c r="E33" t="s">
        <v>24</v>
      </c>
      <c r="F33" t="s">
        <v>24</v>
      </c>
      <c r="G33" t="s">
        <v>24</v>
      </c>
      <c r="H33" t="s">
        <v>24</v>
      </c>
      <c r="I33" t="s">
        <v>24</v>
      </c>
    </row>
    <row r="34" spans="1:9" x14ac:dyDescent="0.25">
      <c r="A34" s="5" t="s">
        <v>409</v>
      </c>
      <c r="B34" t="s">
        <v>24</v>
      </c>
      <c r="C34" t="s">
        <v>24</v>
      </c>
      <c r="D34" t="s">
        <v>24</v>
      </c>
      <c r="E34" t="s">
        <v>24</v>
      </c>
      <c r="F34" t="s">
        <v>24</v>
      </c>
      <c r="G34" t="s">
        <v>24</v>
      </c>
      <c r="H34" t="s">
        <v>24</v>
      </c>
      <c r="I34" t="s">
        <v>24</v>
      </c>
    </row>
    <row r="35" spans="1:9" x14ac:dyDescent="0.25">
      <c r="A35" t="s">
        <v>410</v>
      </c>
      <c r="B35" t="s">
        <v>24</v>
      </c>
      <c r="C35" t="s">
        <v>24</v>
      </c>
      <c r="D35" t="s">
        <v>24</v>
      </c>
      <c r="E35" t="s">
        <v>24</v>
      </c>
      <c r="F35" t="s">
        <v>24</v>
      </c>
      <c r="G35" t="s">
        <v>24</v>
      </c>
      <c r="H35" t="s">
        <v>24</v>
      </c>
      <c r="I35" t="s">
        <v>24</v>
      </c>
    </row>
    <row r="37" spans="1:1" x14ac:dyDescent="0.25">
      <c r="A37" s="2" t="s">
        <v>411</v>
      </c>
    </row>
    <row r="39" spans="1:4" x14ac:dyDescent="0.25">
      <c r="A39" s="3" t="s">
        <v>412</v>
      </c>
      <c r="B39" s="4"/>
      <c r="C39" s="4"/>
      <c r="D39" s="4"/>
    </row>
    <row r="40" spans="1:4" x14ac:dyDescent="0.25">
      <c r="A40" s="9"/>
      <c r="B40" s="10" t="s">
        <v>14</v>
      </c>
      <c r="C40" s="10" t="s">
        <v>15</v>
      </c>
      <c r="D40" s="10" t="s">
        <v>16</v>
      </c>
    </row>
    <row r="41" spans="1:4" x14ac:dyDescent="0.25">
      <c r="A41" t="s">
        <v>413</v>
      </c>
      <c r="B41" s="34">
        <v>48306.6</v>
      </c>
      <c r="C41" s="34">
        <v>61163.6</v>
      </c>
      <c r="D41" s="34">
        <v>72776</v>
      </c>
    </row>
    <row r="42" spans="1:4" x14ac:dyDescent="0.25">
      <c r="A42" t="s">
        <v>414</v>
      </c>
      <c r="B42" s="34">
        <v>18724.7</v>
      </c>
      <c r="C42" s="34">
        <v>24770.8</v>
      </c>
      <c r="D42" s="34">
        <v>28666</v>
      </c>
    </row>
    <row r="43" spans="1:4" x14ac:dyDescent="0.25">
      <c r="A43" t="s">
        <v>415</v>
      </c>
      <c r="B43" s="34">
        <v>13</v>
      </c>
      <c r="C43" s="34">
        <v>41.3</v>
      </c>
      <c r="D43" s="34">
        <v>7.1</v>
      </c>
    </row>
    <row r="44" spans="1:4" x14ac:dyDescent="0.25">
      <c r="A44" t="s">
        <v>416</v>
      </c>
      <c r="B44" s="34">
        <v>12325.2</v>
      </c>
      <c r="C44" s="34">
        <v>14926.1</v>
      </c>
      <c r="D44" s="34">
        <v>17776.3</v>
      </c>
    </row>
    <row r="45" spans="1:4" x14ac:dyDescent="0.25">
      <c r="A45" t="s">
        <v>417</v>
      </c>
      <c r="B45" s="34">
        <v>4630.7</v>
      </c>
      <c r="C45" s="34">
        <v>7966</v>
      </c>
      <c r="D45" s="34">
        <v>9481.9</v>
      </c>
    </row>
    <row r="46" spans="1:4" x14ac:dyDescent="0.25">
      <c r="A46" t="s">
        <v>418</v>
      </c>
      <c r="B46" s="34">
        <v>14451.2</v>
      </c>
      <c r="C46" s="34">
        <v>16637.8</v>
      </c>
      <c r="D46" s="34">
        <v>19017.4</v>
      </c>
    </row>
    <row r="47" spans="1:4" x14ac:dyDescent="0.25">
      <c r="A47" t="s">
        <v>419</v>
      </c>
      <c r="B47" s="34">
        <v>326293.3</v>
      </c>
      <c r="C47" s="34">
        <v>407844.1</v>
      </c>
      <c r="D47" s="34">
        <v>498943.5</v>
      </c>
    </row>
    <row r="48" spans="1:4" x14ac:dyDescent="0.25">
      <c r="A48" t="s">
        <v>420</v>
      </c>
      <c r="B48" s="34">
        <v>60150.9</v>
      </c>
      <c r="C48" s="34">
        <v>71403.1</v>
      </c>
      <c r="D48" s="34">
        <v>68532.8</v>
      </c>
    </row>
    <row r="49" spans="1:4" x14ac:dyDescent="0.25">
      <c r="A49" t="s">
        <v>421</v>
      </c>
      <c r="B49" s="34">
        <v>229617</v>
      </c>
      <c r="C49" s="34">
        <v>286742</v>
      </c>
      <c r="D49" s="34">
        <v>363774.4</v>
      </c>
    </row>
    <row r="50" spans="1:4" x14ac:dyDescent="0.25">
      <c r="A50" t="s">
        <v>335</v>
      </c>
      <c r="B50" s="34">
        <v>375741.6</v>
      </c>
      <c r="C50" s="34">
        <v>466126.8</v>
      </c>
      <c r="D50" s="34">
        <v>559952.4</v>
      </c>
    </row>
    <row r="51" spans="1:4" x14ac:dyDescent="0.25">
      <c r="A51" t="s">
        <v>422</v>
      </c>
      <c r="B51" s="34">
        <v>76695.4</v>
      </c>
      <c r="C51" s="34">
        <v>96692.9</v>
      </c>
      <c r="D51" s="34">
        <v>113999</v>
      </c>
    </row>
    <row r="52" spans="1:4" x14ac:dyDescent="0.25">
      <c r="A52" s="5" t="s">
        <v>423</v>
      </c>
      <c r="B52" s="33">
        <f>(B41-B42)/B50</f>
        <v>0.07872937146166407</v>
      </c>
      <c r="C52" s="33">
        <f>(C41-C42)/C50</f>
        <v>0.07807489292613083</v>
      </c>
      <c r="D52" s="33">
        <f>(D41-D42)/D50</f>
        <v>0.07877455297986043</v>
      </c>
    </row>
    <row r="53" spans="1:4" x14ac:dyDescent="0.25">
      <c r="A53" s="5" t="s">
        <v>424</v>
      </c>
      <c r="B53" s="33">
        <f>B44/(B41-B42+B43)</f>
        <v>0.41646364745277065</v>
      </c>
      <c r="C53" s="33">
        <f>C44/(C41-C42+C43)</f>
        <v>0.4096739043917648</v>
      </c>
      <c r="D53" s="33">
        <f>D44/(D41-D42+D43)</f>
        <v>0.40293446305400854</v>
      </c>
    </row>
    <row r="54" spans="1:4" x14ac:dyDescent="0.25">
      <c r="A54" s="5" t="s">
        <v>425</v>
      </c>
      <c r="B54" s="33">
        <f>B45/B47</f>
        <v>0.014191832930679238</v>
      </c>
      <c r="C54" s="33">
        <f>C45/C47</f>
        <v>0.019531973124044213</v>
      </c>
      <c r="D54" s="33">
        <f>D45/D47</f>
        <v>0.019003955357670757</v>
      </c>
    </row>
    <row r="55" spans="1:4" x14ac:dyDescent="0.25">
      <c r="A55" s="5" t="s">
        <v>426</v>
      </c>
      <c r="B55" s="33">
        <f>B47/B48</f>
        <v>5.424578850856761</v>
      </c>
      <c r="C55" s="33">
        <f>C47/C48</f>
        <v>5.71185424722456</v>
      </c>
      <c r="D55" s="33">
        <f>D47/D48</f>
        <v>7.280360644829921</v>
      </c>
    </row>
    <row r="56" spans="1:4" x14ac:dyDescent="0.25">
      <c r="A56" s="5" t="s">
        <v>427</v>
      </c>
      <c r="B56" s="33">
        <f>B51/B50</f>
        <v>0.20411740408834156</v>
      </c>
      <c r="C56" s="33">
        <f>C51/C50</f>
        <v>0.20743904877385294</v>
      </c>
      <c r="D56" s="33">
        <f>D51/D50</f>
        <v>0.2035869477477014</v>
      </c>
    </row>
    <row r="57" spans="1:4" x14ac:dyDescent="0.25">
      <c r="A57" s="5" t="s">
        <v>428</v>
      </c>
      <c r="B57" s="33">
        <f>B46/B51</f>
        <v>0.1884232952693382</v>
      </c>
      <c r="C57" s="33">
        <f>C46/C51</f>
        <v>0.17206847658928423</v>
      </c>
      <c r="D57" s="33">
        <f>D46/D51</f>
        <v>0.16682076158562795</v>
      </c>
    </row>
    <row r="58" spans="1:1" x14ac:dyDescent="0.25">
      <c r="A58" s="2" t="s">
        <v>429</v>
      </c>
    </row>
    <row r="60" spans="1:8" x14ac:dyDescent="0.25">
      <c r="A60" s="3" t="s">
        <v>430</v>
      </c>
      <c r="B60" s="4"/>
      <c r="C60" s="4"/>
      <c r="D60" s="4"/>
      <c r="E60" s="4"/>
      <c r="F60" s="4"/>
      <c r="G60" s="4"/>
      <c r="H60" s="4"/>
    </row>
    <row r="61" spans="1:2" x14ac:dyDescent="0.25">
      <c r="A61" t="s">
        <v>431</v>
      </c>
      <c r="B61" t="s">
        <v>432</v>
      </c>
    </row>
    <row r="62" spans="1:2" x14ac:dyDescent="0.25">
      <c r="A62" t="s">
        <v>433</v>
      </c>
      <c r="B62" t="s">
        <v>434</v>
      </c>
    </row>
    <row r="63" spans="1:2" x14ac:dyDescent="0.25">
      <c r="A63" t="s">
        <v>435</v>
      </c>
      <c r="B63" t="s">
        <v>436</v>
      </c>
    </row>
    <row r="64" spans="1:2" x14ac:dyDescent="0.25">
      <c r="A64" t="s">
        <v>437</v>
      </c>
      <c r="B64" t="s">
        <v>438</v>
      </c>
    </row>
    <row r="65" spans="1:2" x14ac:dyDescent="0.25">
      <c r="A65" t="s">
        <v>439</v>
      </c>
      <c r="B65" t="s">
        <v>440</v>
      </c>
    </row>
    <row r="66" spans="1:2" x14ac:dyDescent="0.25">
      <c r="A66" t="s">
        <v>441</v>
      </c>
      <c r="B66" t="s">
        <v>442</v>
      </c>
    </row>
    <row r="67" spans="1:2" x14ac:dyDescent="0.25">
      <c r="A67" t="s">
        <v>443</v>
      </c>
      <c r="B67" t="s">
        <v>444</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6"/>
  <sheetViews>
    <sheetView workbookViewId="0">
      <pane xSplit="1" ySplit="3" topLeftCell="B4" activePane="bottomRight" state="frozen"/>
      <selection pane="bottomRight"/>
    </sheetView>
  </sheetViews>
  <sheetFormatPr defaultRowHeight="15" outlineLevelRow="0" outlineLevelCol="0" x14ac:dyDescent="55"/>
  <cols>
    <col min="1" max="1" width="58" customWidth="1"/>
    <col min="2" max="2" width="34" customWidth="1"/>
    <col min="3" max="3" width="20" customWidth="1"/>
    <col min="4" max="5" width="18" customWidth="1"/>
    <col min="6" max="6" width="40" customWidth="1"/>
    <col min="7" max="9" width="18" customWidth="1"/>
  </cols>
  <sheetData>
    <row r="1" spans="1:1" x14ac:dyDescent="0.25">
      <c r="A1" s="1" t="s">
        <v>445</v>
      </c>
    </row>
    <row r="2" spans="1:1" x14ac:dyDescent="0.25">
      <c r="A2" s="2" t="s">
        <v>446</v>
      </c>
    </row>
    <row r="4" spans="1:1" x14ac:dyDescent="0.25">
      <c r="A4" s="5" t="s">
        <v>447</v>
      </c>
    </row>
    <row r="6" spans="1:9" x14ac:dyDescent="0.25">
      <c r="A6" s="3" t="s">
        <v>448</v>
      </c>
      <c r="B6" s="4"/>
      <c r="C6" s="4"/>
      <c r="D6" s="4"/>
      <c r="E6" s="4"/>
      <c r="F6" s="4"/>
      <c r="G6" s="4"/>
      <c r="H6" s="4"/>
      <c r="I6" s="4"/>
    </row>
    <row r="7" spans="1:1" x14ac:dyDescent="0.25">
      <c r="A7" s="2" t="s">
        <v>449</v>
      </c>
    </row>
    <row r="8" spans="1:9" x14ac:dyDescent="0.25">
      <c r="A8" s="9" t="s">
        <v>450</v>
      </c>
      <c r="B8" s="10" t="s">
        <v>451</v>
      </c>
      <c r="C8" s="10" t="s">
        <v>452</v>
      </c>
      <c r="D8" s="10" t="s">
        <v>453</v>
      </c>
      <c r="E8" s="10" t="s">
        <v>454</v>
      </c>
      <c r="F8" s="10" t="s">
        <v>455</v>
      </c>
      <c r="G8" s="10" t="s">
        <v>456</v>
      </c>
      <c r="H8" s="10" t="s">
        <v>457</v>
      </c>
      <c r="I8" s="10" t="s">
        <v>458</v>
      </c>
    </row>
    <row r="9" spans="1:9" x14ac:dyDescent="0.25">
      <c r="A9" t="s">
        <v>22</v>
      </c>
      <c r="B9" t="s">
        <v>459</v>
      </c>
      <c r="C9" t="s">
        <v>460</v>
      </c>
      <c r="D9" s="34">
        <v>48319.6</v>
      </c>
      <c r="E9" t="s">
        <v>461</v>
      </c>
      <c r="F9" s="34">
        <v>34326.32</v>
      </c>
      <c r="G9" s="5" t="s">
        <v>462</v>
      </c>
      <c r="H9" s="35">
        <v>0.2895984238280118</v>
      </c>
      <c r="I9" t="s">
        <v>463</v>
      </c>
    </row>
    <row r="10" spans="1:9" x14ac:dyDescent="0.25">
      <c r="A10" t="s">
        <v>321</v>
      </c>
      <c r="B10" t="s">
        <v>459</v>
      </c>
      <c r="C10" t="s">
        <v>460</v>
      </c>
      <c r="D10" t="s">
        <v>24</v>
      </c>
      <c r="E10" t="s">
        <v>461</v>
      </c>
      <c r="F10" s="34">
        <v>683.32</v>
      </c>
      <c r="G10" t="s">
        <v>464</v>
      </c>
      <c r="H10" t="s">
        <v>24</v>
      </c>
      <c r="I10" t="s">
        <v>465</v>
      </c>
    </row>
    <row r="11" spans="1:9" x14ac:dyDescent="0.25">
      <c r="A11" t="s">
        <v>324</v>
      </c>
      <c r="B11" t="s">
        <v>459</v>
      </c>
      <c r="C11" t="s">
        <v>460</v>
      </c>
      <c r="D11" s="34">
        <v>18724.7</v>
      </c>
      <c r="E11" t="s">
        <v>461</v>
      </c>
      <c r="F11" s="34">
        <v>18724.69</v>
      </c>
      <c r="G11" t="s">
        <v>466</v>
      </c>
      <c r="H11" s="35">
        <v>5.340539502388432e-7</v>
      </c>
      <c r="I11" t="s">
        <v>467</v>
      </c>
    </row>
    <row r="12" spans="1:9" x14ac:dyDescent="0.25">
      <c r="A12" t="s">
        <v>101</v>
      </c>
      <c r="B12" t="s">
        <v>459</v>
      </c>
      <c r="C12" t="s">
        <v>460</v>
      </c>
      <c r="D12" s="34">
        <v>19301.9</v>
      </c>
      <c r="E12" t="s">
        <v>461</v>
      </c>
      <c r="F12" s="34">
        <v>19309.57</v>
      </c>
      <c r="G12" t="s">
        <v>466</v>
      </c>
      <c r="H12" s="35">
        <v>0.00039737020707796916</v>
      </c>
      <c r="I12" t="s">
        <v>468</v>
      </c>
    </row>
    <row r="13" spans="1:9" x14ac:dyDescent="0.25">
      <c r="A13" t="s">
        <v>469</v>
      </c>
      <c r="B13" t="s">
        <v>459</v>
      </c>
      <c r="C13" t="s">
        <v>460</v>
      </c>
      <c r="D13" s="34">
        <v>4858.4</v>
      </c>
      <c r="E13" t="s">
        <v>461</v>
      </c>
      <c r="F13" s="34">
        <v>4858.4</v>
      </c>
      <c r="G13" t="s">
        <v>466</v>
      </c>
      <c r="H13" s="35">
        <v>0</v>
      </c>
      <c r="I13" t="s">
        <v>470</v>
      </c>
    </row>
    <row r="14" spans="1:9" x14ac:dyDescent="0.25">
      <c r="A14" t="s">
        <v>471</v>
      </c>
      <c r="B14" t="s">
        <v>459</v>
      </c>
      <c r="C14" t="s">
        <v>460</v>
      </c>
      <c r="D14" s="34">
        <v>14451.2</v>
      </c>
      <c r="E14" t="s">
        <v>461</v>
      </c>
      <c r="F14" s="34">
        <v>14451.17</v>
      </c>
      <c r="G14" t="s">
        <v>466</v>
      </c>
      <c r="H14" s="35">
        <v>0.0000020759521701073153</v>
      </c>
      <c r="I14" t="s">
        <v>472</v>
      </c>
    </row>
    <row r="15" spans="1:9" x14ac:dyDescent="0.25">
      <c r="A15" t="s">
        <v>473</v>
      </c>
      <c r="B15" t="s">
        <v>459</v>
      </c>
      <c r="C15" t="s">
        <v>460</v>
      </c>
      <c r="D15" t="s">
        <v>24</v>
      </c>
      <c r="E15" t="s">
        <v>461</v>
      </c>
      <c r="F15" s="34">
        <v>14451.17</v>
      </c>
      <c r="G15" t="s">
        <v>464</v>
      </c>
      <c r="H15" t="s">
        <v>24</v>
      </c>
      <c r="I15" t="s">
        <v>465</v>
      </c>
    </row>
    <row r="16" spans="1:9" x14ac:dyDescent="0.25">
      <c r="A16" t="s">
        <v>474</v>
      </c>
      <c r="B16" t="s">
        <v>459</v>
      </c>
      <c r="C16" t="s">
        <v>460</v>
      </c>
      <c r="D16" t="s">
        <v>24</v>
      </c>
      <c r="E16" t="s">
        <v>461</v>
      </c>
      <c r="F16" s="34">
        <v>23.598</v>
      </c>
      <c r="G16" t="s">
        <v>464</v>
      </c>
      <c r="H16" t="s">
        <v>24</v>
      </c>
      <c r="I16" t="s">
        <v>465</v>
      </c>
    </row>
    <row r="17" spans="1:9" x14ac:dyDescent="0.25">
      <c r="A17" t="s">
        <v>335</v>
      </c>
      <c r="B17" t="s">
        <v>459</v>
      </c>
      <c r="C17" t="s">
        <v>460</v>
      </c>
      <c r="D17" s="34">
        <v>375741.6</v>
      </c>
      <c r="E17" t="s">
        <v>461</v>
      </c>
      <c r="F17" s="34">
        <v>375741.62</v>
      </c>
      <c r="G17" t="s">
        <v>466</v>
      </c>
      <c r="H17" s="35">
        <v>5.3228069552656544e-8</v>
      </c>
      <c r="I17" t="s">
        <v>475</v>
      </c>
    </row>
    <row r="18" spans="1:9" x14ac:dyDescent="0.25">
      <c r="A18" t="s">
        <v>476</v>
      </c>
      <c r="B18" t="s">
        <v>459</v>
      </c>
      <c r="C18" t="s">
        <v>460</v>
      </c>
      <c r="D18" t="s">
        <v>24</v>
      </c>
      <c r="E18" t="s">
        <v>461</v>
      </c>
      <c r="F18" s="34">
        <v>76695.35</v>
      </c>
      <c r="G18" t="s">
        <v>464</v>
      </c>
      <c r="H18" t="s">
        <v>24</v>
      </c>
      <c r="I18" t="s">
        <v>465</v>
      </c>
    </row>
    <row r="19" spans="1:9" x14ac:dyDescent="0.25">
      <c r="A19" t="s">
        <v>477</v>
      </c>
      <c r="B19" t="s">
        <v>459</v>
      </c>
      <c r="C19" t="s">
        <v>460</v>
      </c>
      <c r="D19" s="34">
        <v>76695.4</v>
      </c>
      <c r="E19" t="s">
        <v>461</v>
      </c>
      <c r="F19" s="34">
        <v>76695.35</v>
      </c>
      <c r="G19" t="s">
        <v>466</v>
      </c>
      <c r="H19" s="35">
        <v>6.519295810225708e-7</v>
      </c>
      <c r="I19" t="s">
        <v>478</v>
      </c>
    </row>
    <row r="20" spans="1:9" x14ac:dyDescent="0.25">
      <c r="A20" t="s">
        <v>479</v>
      </c>
      <c r="B20" t="s">
        <v>459</v>
      </c>
      <c r="C20" t="s">
        <v>460</v>
      </c>
      <c r="D20" t="s">
        <v>24</v>
      </c>
      <c r="E20" t="s">
        <v>461</v>
      </c>
      <c r="F20" s="34">
        <v>123.8</v>
      </c>
      <c r="G20" t="s">
        <v>464</v>
      </c>
      <c r="H20" t="s">
        <v>24</v>
      </c>
      <c r="I20" t="s">
        <v>465</v>
      </c>
    </row>
    <row r="21" spans="1:9" x14ac:dyDescent="0.25">
      <c r="A21" t="s">
        <v>480</v>
      </c>
      <c r="B21" t="s">
        <v>459</v>
      </c>
      <c r="C21" t="s">
        <v>460</v>
      </c>
      <c r="D21" t="s">
        <v>24</v>
      </c>
      <c r="E21" t="s">
        <v>461</v>
      </c>
      <c r="F21" s="34">
        <v>7368.37</v>
      </c>
      <c r="G21" t="s">
        <v>464</v>
      </c>
      <c r="H21" t="s">
        <v>24</v>
      </c>
      <c r="I21" t="s">
        <v>465</v>
      </c>
    </row>
    <row r="22" spans="1:9" x14ac:dyDescent="0.25">
      <c r="A22" t="s">
        <v>481</v>
      </c>
      <c r="B22" t="s">
        <v>459</v>
      </c>
      <c r="C22" t="s">
        <v>460</v>
      </c>
      <c r="D22" t="s">
        <v>24</v>
      </c>
      <c r="E22" t="s">
        <v>461</v>
      </c>
      <c r="F22" s="34">
        <v>-69843.31</v>
      </c>
      <c r="G22" t="s">
        <v>464</v>
      </c>
      <c r="H22" t="s">
        <v>24</v>
      </c>
      <c r="I22" t="s">
        <v>465</v>
      </c>
    </row>
    <row r="23" spans="1:9" x14ac:dyDescent="0.25">
      <c r="A23" t="s">
        <v>482</v>
      </c>
      <c r="B23" t="s">
        <v>459</v>
      </c>
      <c r="C23" t="s">
        <v>460</v>
      </c>
      <c r="D23" t="s">
        <v>24</v>
      </c>
      <c r="E23" t="s">
        <v>461</v>
      </c>
      <c r="F23" s="34">
        <v>-10088.01</v>
      </c>
      <c r="G23" t="s">
        <v>464</v>
      </c>
      <c r="H23" t="s">
        <v>24</v>
      </c>
      <c r="I23" t="s">
        <v>465</v>
      </c>
    </row>
    <row r="24" spans="1:9" x14ac:dyDescent="0.25">
      <c r="A24" t="s">
        <v>483</v>
      </c>
      <c r="B24" t="s">
        <v>459</v>
      </c>
      <c r="C24" t="s">
        <v>460</v>
      </c>
      <c r="D24" t="s">
        <v>24</v>
      </c>
      <c r="E24" t="s">
        <v>461</v>
      </c>
      <c r="F24" s="34">
        <v>82415.08</v>
      </c>
      <c r="G24" t="s">
        <v>464</v>
      </c>
      <c r="H24" t="s">
        <v>24</v>
      </c>
      <c r="I24" t="s">
        <v>465</v>
      </c>
    </row>
    <row r="25" spans="1:9" x14ac:dyDescent="0.25">
      <c r="A25" t="s">
        <v>484</v>
      </c>
      <c r="B25" t="s">
        <v>459</v>
      </c>
      <c r="C25" t="s">
        <v>460</v>
      </c>
      <c r="D25" t="s">
        <v>24</v>
      </c>
      <c r="E25" t="s">
        <v>461</v>
      </c>
      <c r="F25" s="34">
        <v>-1037.78</v>
      </c>
      <c r="G25" t="s">
        <v>464</v>
      </c>
      <c r="H25" t="s">
        <v>24</v>
      </c>
      <c r="I25" t="s">
        <v>465</v>
      </c>
    </row>
    <row r="26" spans="1:9" x14ac:dyDescent="0.25">
      <c r="A26" t="s">
        <v>485</v>
      </c>
      <c r="B26" t="s">
        <v>459</v>
      </c>
      <c r="C26" t="s">
        <v>460</v>
      </c>
      <c r="D26" t="s">
        <v>24</v>
      </c>
      <c r="E26" t="s">
        <v>461</v>
      </c>
      <c r="F26" s="34">
        <v>618.008</v>
      </c>
      <c r="G26" t="s">
        <v>464</v>
      </c>
      <c r="H26" t="s">
        <v>24</v>
      </c>
      <c r="I26" t="s">
        <v>465</v>
      </c>
    </row>
    <row r="27" spans="1:9" x14ac:dyDescent="0.25">
      <c r="A27" t="s">
        <v>22</v>
      </c>
      <c r="B27" t="s">
        <v>486</v>
      </c>
      <c r="C27" t="s">
        <v>460</v>
      </c>
      <c r="D27" s="34">
        <v>61204.9</v>
      </c>
      <c r="E27" t="s">
        <v>461</v>
      </c>
      <c r="F27" s="34">
        <v>41479.57</v>
      </c>
      <c r="G27" s="5" t="s">
        <v>462</v>
      </c>
      <c r="H27" s="35">
        <v>0.3222835099804101</v>
      </c>
      <c r="I27" t="s">
        <v>487</v>
      </c>
    </row>
    <row r="28" spans="1:9" x14ac:dyDescent="0.25">
      <c r="A28" t="s">
        <v>321</v>
      </c>
      <c r="B28" t="s">
        <v>486</v>
      </c>
      <c r="C28" t="s">
        <v>460</v>
      </c>
      <c r="D28" t="s">
        <v>24</v>
      </c>
      <c r="E28" t="s">
        <v>461</v>
      </c>
      <c r="F28" s="34">
        <v>880.99</v>
      </c>
      <c r="G28" t="s">
        <v>464</v>
      </c>
      <c r="H28" t="s">
        <v>24</v>
      </c>
      <c r="I28" t="s">
        <v>465</v>
      </c>
    </row>
    <row r="29" spans="1:9" x14ac:dyDescent="0.25">
      <c r="A29" t="s">
        <v>324</v>
      </c>
      <c r="B29" t="s">
        <v>486</v>
      </c>
      <c r="C29" t="s">
        <v>460</v>
      </c>
      <c r="D29" s="34">
        <v>24770.8</v>
      </c>
      <c r="E29" t="s">
        <v>461</v>
      </c>
      <c r="F29" s="34">
        <v>24769.75</v>
      </c>
      <c r="G29" t="s">
        <v>466</v>
      </c>
      <c r="H29" s="35">
        <v>0.000042388618857657903</v>
      </c>
      <c r="I29" t="s">
        <v>488</v>
      </c>
    </row>
    <row r="30" spans="1:9" x14ac:dyDescent="0.25">
      <c r="A30" t="s">
        <v>101</v>
      </c>
      <c r="B30" t="s">
        <v>486</v>
      </c>
      <c r="C30" t="s">
        <v>460</v>
      </c>
      <c r="D30" s="34">
        <v>22061.8</v>
      </c>
      <c r="E30" t="s">
        <v>461</v>
      </c>
      <c r="F30" s="34">
        <v>22079.63</v>
      </c>
      <c r="G30" t="s">
        <v>466</v>
      </c>
      <c r="H30" s="35">
        <v>0.0008081842823342496</v>
      </c>
      <c r="I30" t="s">
        <v>489</v>
      </c>
    </row>
    <row r="31" spans="1:9" x14ac:dyDescent="0.25">
      <c r="A31" t="s">
        <v>469</v>
      </c>
      <c r="B31" t="s">
        <v>486</v>
      </c>
      <c r="C31" t="s">
        <v>460</v>
      </c>
      <c r="D31" s="34">
        <v>5300.2</v>
      </c>
      <c r="E31" t="s">
        <v>461</v>
      </c>
      <c r="F31" s="34">
        <v>5300.15</v>
      </c>
      <c r="G31" t="s">
        <v>466</v>
      </c>
      <c r="H31" s="35">
        <v>0.000009433606279042658</v>
      </c>
      <c r="I31" t="s">
        <v>490</v>
      </c>
    </row>
    <row r="32" spans="1:9" x14ac:dyDescent="0.25">
      <c r="A32" t="s">
        <v>471</v>
      </c>
      <c r="B32" t="s">
        <v>486</v>
      </c>
      <c r="C32" t="s">
        <v>460</v>
      </c>
      <c r="D32" s="34">
        <v>16637.8</v>
      </c>
      <c r="E32" t="s">
        <v>461</v>
      </c>
      <c r="F32" s="34">
        <v>16637.82</v>
      </c>
      <c r="G32" t="s">
        <v>466</v>
      </c>
      <c r="H32" s="35">
        <v>0.0000012020820060606906</v>
      </c>
      <c r="I32" t="s">
        <v>491</v>
      </c>
    </row>
    <row r="33" spans="1:9" x14ac:dyDescent="0.25">
      <c r="A33" t="s">
        <v>473</v>
      </c>
      <c r="B33" t="s">
        <v>486</v>
      </c>
      <c r="C33" t="s">
        <v>460</v>
      </c>
      <c r="D33" t="s">
        <v>24</v>
      </c>
      <c r="E33" t="s">
        <v>461</v>
      </c>
      <c r="F33" s="34">
        <v>16637.82</v>
      </c>
      <c r="G33" t="s">
        <v>464</v>
      </c>
      <c r="H33" t="s">
        <v>24</v>
      </c>
      <c r="I33" t="s">
        <v>465</v>
      </c>
    </row>
    <row r="34" spans="1:9" x14ac:dyDescent="0.25">
      <c r="A34" t="s">
        <v>474</v>
      </c>
      <c r="B34" t="s">
        <v>486</v>
      </c>
      <c r="C34" t="s">
        <v>460</v>
      </c>
      <c r="D34" t="s">
        <v>24</v>
      </c>
      <c r="E34" t="s">
        <v>461</v>
      </c>
      <c r="F34" s="34">
        <v>26.82</v>
      </c>
      <c r="G34" t="s">
        <v>464</v>
      </c>
      <c r="H34" t="s">
        <v>24</v>
      </c>
      <c r="I34" t="s">
        <v>465</v>
      </c>
    </row>
    <row r="35" spans="1:9" x14ac:dyDescent="0.25">
      <c r="A35" t="s">
        <v>335</v>
      </c>
      <c r="B35" t="s">
        <v>486</v>
      </c>
      <c r="C35" t="s">
        <v>460</v>
      </c>
      <c r="D35" s="34">
        <v>466126.8</v>
      </c>
      <c r="E35" t="s">
        <v>461</v>
      </c>
      <c r="F35" s="34">
        <v>466126.83</v>
      </c>
      <c r="G35" t="s">
        <v>466</v>
      </c>
      <c r="H35" s="35">
        <v>6.43601698678121e-8</v>
      </c>
      <c r="I35" t="s">
        <v>492</v>
      </c>
    </row>
    <row r="36" spans="1:9" x14ac:dyDescent="0.25">
      <c r="A36" t="s">
        <v>476</v>
      </c>
      <c r="B36" t="s">
        <v>486</v>
      </c>
      <c r="C36" t="s">
        <v>460</v>
      </c>
      <c r="D36" t="s">
        <v>24</v>
      </c>
      <c r="E36" t="s">
        <v>461</v>
      </c>
      <c r="F36" s="34">
        <v>98936.89</v>
      </c>
      <c r="G36" t="s">
        <v>464</v>
      </c>
      <c r="H36" t="s">
        <v>24</v>
      </c>
      <c r="I36" t="s">
        <v>465</v>
      </c>
    </row>
    <row r="37" spans="1:9" x14ac:dyDescent="0.25">
      <c r="A37" t="s">
        <v>477</v>
      </c>
      <c r="B37" t="s">
        <v>486</v>
      </c>
      <c r="C37" t="s">
        <v>460</v>
      </c>
      <c r="D37" s="34">
        <v>96692.9</v>
      </c>
      <c r="E37" t="s">
        <v>461</v>
      </c>
      <c r="F37" s="34">
        <v>96692.87</v>
      </c>
      <c r="G37" t="s">
        <v>466</v>
      </c>
      <c r="H37" s="35">
        <v>3.102606292585686e-7</v>
      </c>
      <c r="I37" t="s">
        <v>493</v>
      </c>
    </row>
    <row r="38" spans="1:9" x14ac:dyDescent="0.25">
      <c r="A38" t="s">
        <v>479</v>
      </c>
      <c r="B38" t="s">
        <v>486</v>
      </c>
      <c r="C38" t="s">
        <v>460</v>
      </c>
      <c r="D38" t="s">
        <v>24</v>
      </c>
      <c r="E38" t="s">
        <v>461</v>
      </c>
      <c r="F38" s="34">
        <v>124.29</v>
      </c>
      <c r="G38" t="s">
        <v>464</v>
      </c>
      <c r="H38" t="s">
        <v>24</v>
      </c>
      <c r="I38" t="s">
        <v>465</v>
      </c>
    </row>
    <row r="39" spans="1:9" x14ac:dyDescent="0.25">
      <c r="A39" t="s">
        <v>480</v>
      </c>
      <c r="B39" t="s">
        <v>486</v>
      </c>
      <c r="C39" t="s">
        <v>460</v>
      </c>
      <c r="D39" t="s">
        <v>24</v>
      </c>
      <c r="E39" t="s">
        <v>461</v>
      </c>
      <c r="F39" s="34">
        <v>6541.48</v>
      </c>
      <c r="G39" t="s">
        <v>464</v>
      </c>
      <c r="H39" t="s">
        <v>24</v>
      </c>
      <c r="I39" t="s">
        <v>465</v>
      </c>
    </row>
    <row r="40" spans="1:9" x14ac:dyDescent="0.25">
      <c r="A40" t="s">
        <v>481</v>
      </c>
      <c r="B40" t="s">
        <v>486</v>
      </c>
      <c r="C40" t="s">
        <v>460</v>
      </c>
      <c r="D40" t="s">
        <v>24</v>
      </c>
      <c r="E40" t="s">
        <v>461</v>
      </c>
      <c r="F40" s="34">
        <v>-67791.64</v>
      </c>
      <c r="G40" t="s">
        <v>464</v>
      </c>
      <c r="H40" t="s">
        <v>24</v>
      </c>
      <c r="I40" t="s">
        <v>465</v>
      </c>
    </row>
    <row r="41" spans="1:9" x14ac:dyDescent="0.25">
      <c r="A41" t="s">
        <v>482</v>
      </c>
      <c r="B41" t="s">
        <v>486</v>
      </c>
      <c r="C41" t="s">
        <v>460</v>
      </c>
      <c r="D41" t="s">
        <v>24</v>
      </c>
      <c r="E41" t="s">
        <v>461</v>
      </c>
      <c r="F41" s="34">
        <v>-2765.02</v>
      </c>
      <c r="G41" t="s">
        <v>464</v>
      </c>
      <c r="H41" t="s">
        <v>24</v>
      </c>
      <c r="I41" t="s">
        <v>465</v>
      </c>
    </row>
    <row r="42" spans="1:9" x14ac:dyDescent="0.25">
      <c r="A42" t="s">
        <v>483</v>
      </c>
      <c r="B42" t="s">
        <v>486</v>
      </c>
      <c r="C42" t="s">
        <v>460</v>
      </c>
      <c r="D42" t="s">
        <v>24</v>
      </c>
      <c r="E42" t="s">
        <v>461</v>
      </c>
      <c r="F42" s="34">
        <v>70164.61</v>
      </c>
      <c r="G42" t="s">
        <v>464</v>
      </c>
      <c r="H42" t="s">
        <v>24</v>
      </c>
      <c r="I42" t="s">
        <v>465</v>
      </c>
    </row>
    <row r="43" spans="1:9" x14ac:dyDescent="0.25">
      <c r="A43" t="s">
        <v>484</v>
      </c>
      <c r="B43" t="s">
        <v>486</v>
      </c>
      <c r="C43" t="s">
        <v>460</v>
      </c>
      <c r="D43" t="s">
        <v>24</v>
      </c>
      <c r="E43" t="s">
        <v>461</v>
      </c>
      <c r="F43" s="34">
        <v>-1081.82</v>
      </c>
      <c r="G43" t="s">
        <v>464</v>
      </c>
      <c r="H43" t="s">
        <v>24</v>
      </c>
      <c r="I43" t="s">
        <v>465</v>
      </c>
    </row>
    <row r="44" spans="1:9" x14ac:dyDescent="0.25">
      <c r="A44" t="s">
        <v>485</v>
      </c>
      <c r="B44" t="s">
        <v>486</v>
      </c>
      <c r="C44" t="s">
        <v>460</v>
      </c>
      <c r="D44" t="s">
        <v>24</v>
      </c>
      <c r="E44" t="s">
        <v>461</v>
      </c>
      <c r="F44" s="34">
        <v>620.812</v>
      </c>
      <c r="G44" t="s">
        <v>464</v>
      </c>
      <c r="H44" t="s">
        <v>24</v>
      </c>
      <c r="I44" t="s">
        <v>465</v>
      </c>
    </row>
    <row r="45" spans="1:9" x14ac:dyDescent="0.25">
      <c r="A45" t="s">
        <v>22</v>
      </c>
      <c r="B45" t="s">
        <v>494</v>
      </c>
      <c r="C45" t="s">
        <v>460</v>
      </c>
      <c r="D45" s="34">
        <v>72783.1</v>
      </c>
      <c r="E45" t="s">
        <v>461</v>
      </c>
      <c r="F45" s="34">
        <v>49665.45</v>
      </c>
      <c r="G45" s="5" t="s">
        <v>462</v>
      </c>
      <c r="H45" s="35">
        <v>0.31762387147565857</v>
      </c>
      <c r="I45" t="s">
        <v>495</v>
      </c>
    </row>
    <row r="46" spans="1:9" x14ac:dyDescent="0.25">
      <c r="A46" t="s">
        <v>321</v>
      </c>
      <c r="B46" t="s">
        <v>494</v>
      </c>
      <c r="C46" t="s">
        <v>460</v>
      </c>
      <c r="D46" t="s">
        <v>24</v>
      </c>
      <c r="E46" t="s">
        <v>461</v>
      </c>
      <c r="F46" s="34">
        <v>1008.98</v>
      </c>
      <c r="G46" t="s">
        <v>464</v>
      </c>
      <c r="H46" t="s">
        <v>24</v>
      </c>
      <c r="I46" t="s">
        <v>465</v>
      </c>
    </row>
    <row r="47" spans="1:9" x14ac:dyDescent="0.25">
      <c r="A47" t="s">
        <v>324</v>
      </c>
      <c r="B47" t="s">
        <v>494</v>
      </c>
      <c r="C47" t="s">
        <v>460</v>
      </c>
      <c r="D47" s="34">
        <v>28666</v>
      </c>
      <c r="E47" t="s">
        <v>461</v>
      </c>
      <c r="F47" s="34">
        <v>28665.95</v>
      </c>
      <c r="G47" t="s">
        <v>466</v>
      </c>
      <c r="H47" s="35">
        <v>0.000001744226609895779</v>
      </c>
      <c r="I47" t="s">
        <v>496</v>
      </c>
    </row>
    <row r="48" spans="1:9" x14ac:dyDescent="0.25">
      <c r="A48" t="s">
        <v>101</v>
      </c>
      <c r="B48" t="s">
        <v>494</v>
      </c>
      <c r="C48" t="s">
        <v>460</v>
      </c>
      <c r="D48" s="34">
        <v>25800.2</v>
      </c>
      <c r="E48" t="s">
        <v>461</v>
      </c>
      <c r="F48" s="34">
        <v>25816.65</v>
      </c>
      <c r="G48" t="s">
        <v>466</v>
      </c>
      <c r="H48" s="35">
        <v>0.000637591956651527</v>
      </c>
      <c r="I48" t="s">
        <v>497</v>
      </c>
    </row>
    <row r="49" spans="1:9" x14ac:dyDescent="0.25">
      <c r="A49" t="s">
        <v>469</v>
      </c>
      <c r="B49" t="s">
        <v>494</v>
      </c>
      <c r="C49" t="s">
        <v>460</v>
      </c>
      <c r="D49" s="34">
        <v>6484.3</v>
      </c>
      <c r="E49" t="s">
        <v>461</v>
      </c>
      <c r="F49" s="34">
        <v>6484.29</v>
      </c>
      <c r="G49" t="s">
        <v>466</v>
      </c>
      <c r="H49" s="35">
        <v>0.0000015421865120704283</v>
      </c>
      <c r="I49" t="s">
        <v>498</v>
      </c>
    </row>
    <row r="50" spans="1:9" x14ac:dyDescent="0.25">
      <c r="A50" t="s">
        <v>471</v>
      </c>
      <c r="B50" t="s">
        <v>494</v>
      </c>
      <c r="C50" t="s">
        <v>460</v>
      </c>
      <c r="D50" s="34">
        <v>19017.4</v>
      </c>
      <c r="E50" t="s">
        <v>461</v>
      </c>
      <c r="F50" s="34">
        <v>19017.39</v>
      </c>
      <c r="G50" t="s">
        <v>466</v>
      </c>
      <c r="H50" s="35">
        <v>5.25834236122565e-7</v>
      </c>
      <c r="I50" t="s">
        <v>499</v>
      </c>
    </row>
    <row r="51" spans="1:9" x14ac:dyDescent="0.25">
      <c r="A51" t="s">
        <v>473</v>
      </c>
      <c r="B51" t="s">
        <v>494</v>
      </c>
      <c r="C51" t="s">
        <v>460</v>
      </c>
      <c r="D51" t="s">
        <v>24</v>
      </c>
      <c r="E51" t="s">
        <v>461</v>
      </c>
      <c r="F51" s="34">
        <v>19017.39</v>
      </c>
      <c r="G51" t="s">
        <v>464</v>
      </c>
      <c r="H51" t="s">
        <v>24</v>
      </c>
      <c r="I51" t="s">
        <v>465</v>
      </c>
    </row>
    <row r="52" spans="1:9" x14ac:dyDescent="0.25">
      <c r="A52" t="s">
        <v>474</v>
      </c>
      <c r="B52" t="s">
        <v>494</v>
      </c>
      <c r="C52" t="s">
        <v>460</v>
      </c>
      <c r="D52" t="s">
        <v>24</v>
      </c>
      <c r="E52" t="s">
        <v>461</v>
      </c>
      <c r="F52" s="34">
        <v>30.51</v>
      </c>
      <c r="G52" t="s">
        <v>464</v>
      </c>
      <c r="H52" t="s">
        <v>24</v>
      </c>
      <c r="I52" t="s">
        <v>465</v>
      </c>
    </row>
    <row r="53" spans="1:9" x14ac:dyDescent="0.25">
      <c r="A53" t="s">
        <v>335</v>
      </c>
      <c r="B53" t="s">
        <v>494</v>
      </c>
      <c r="C53" t="s">
        <v>460</v>
      </c>
      <c r="D53" s="34">
        <v>559952.4</v>
      </c>
      <c r="E53" t="s">
        <v>461</v>
      </c>
      <c r="F53" s="34">
        <v>559952.36</v>
      </c>
      <c r="G53" t="s">
        <v>466</v>
      </c>
      <c r="H53" s="35">
        <v>7.143464343978684e-8</v>
      </c>
      <c r="I53" t="s">
        <v>500</v>
      </c>
    </row>
    <row r="54" spans="1:9" x14ac:dyDescent="0.25">
      <c r="A54" t="s">
        <v>476</v>
      </c>
      <c r="B54" t="s">
        <v>494</v>
      </c>
      <c r="C54" t="s">
        <v>460</v>
      </c>
      <c r="D54" t="s">
        <v>24</v>
      </c>
      <c r="E54" t="s">
        <v>461</v>
      </c>
      <c r="F54" s="34">
        <v>116985.54</v>
      </c>
      <c r="G54" t="s">
        <v>464</v>
      </c>
      <c r="H54" t="s">
        <v>24</v>
      </c>
      <c r="I54" t="s">
        <v>465</v>
      </c>
    </row>
    <row r="55" spans="1:9" x14ac:dyDescent="0.25">
      <c r="A55" t="s">
        <v>477</v>
      </c>
      <c r="B55" t="s">
        <v>494</v>
      </c>
      <c r="C55" t="s">
        <v>460</v>
      </c>
      <c r="D55" s="34">
        <v>113999</v>
      </c>
      <c r="E55" t="s">
        <v>461</v>
      </c>
      <c r="F55" s="34">
        <v>113999.02</v>
      </c>
      <c r="G55" t="s">
        <v>466</v>
      </c>
      <c r="H55" s="35">
        <v>1.7544013547552642e-7</v>
      </c>
      <c r="I55" t="s">
        <v>501</v>
      </c>
    </row>
    <row r="56" spans="1:9" x14ac:dyDescent="0.25">
      <c r="A56" t="s">
        <v>479</v>
      </c>
      <c r="B56" t="s">
        <v>494</v>
      </c>
      <c r="C56" t="s">
        <v>460</v>
      </c>
      <c r="D56" t="s">
        <v>24</v>
      </c>
      <c r="E56" t="s">
        <v>461</v>
      </c>
      <c r="F56" s="34">
        <v>622.25</v>
      </c>
      <c r="G56" t="s">
        <v>464</v>
      </c>
      <c r="H56" t="s">
        <v>24</v>
      </c>
      <c r="I56" t="s">
        <v>465</v>
      </c>
    </row>
    <row r="57" spans="1:9" x14ac:dyDescent="0.25">
      <c r="A57" t="s">
        <v>480</v>
      </c>
      <c r="B57" t="s">
        <v>494</v>
      </c>
      <c r="C57" t="s">
        <v>460</v>
      </c>
      <c r="D57" t="s">
        <v>24</v>
      </c>
      <c r="E57" t="s">
        <v>461</v>
      </c>
      <c r="F57" s="34">
        <v>4016.18</v>
      </c>
      <c r="G57" t="s">
        <v>464</v>
      </c>
      <c r="H57" t="s">
        <v>24</v>
      </c>
      <c r="I57" t="s">
        <v>465</v>
      </c>
    </row>
    <row r="58" spans="1:9" x14ac:dyDescent="0.25">
      <c r="A58" t="s">
        <v>481</v>
      </c>
      <c r="B58" t="s">
        <v>494</v>
      </c>
      <c r="C58" t="s">
        <v>460</v>
      </c>
      <c r="D58" t="s">
        <v>24</v>
      </c>
      <c r="E58" t="s">
        <v>461</v>
      </c>
      <c r="F58" s="34">
        <v>-65789.8</v>
      </c>
      <c r="G58" t="s">
        <v>464</v>
      </c>
      <c r="H58" t="s">
        <v>24</v>
      </c>
      <c r="I58" t="s">
        <v>465</v>
      </c>
    </row>
    <row r="59" spans="1:9" x14ac:dyDescent="0.25">
      <c r="A59" t="s">
        <v>482</v>
      </c>
      <c r="B59" t="s">
        <v>494</v>
      </c>
      <c r="C59" t="s">
        <v>460</v>
      </c>
      <c r="D59" t="s">
        <v>24</v>
      </c>
      <c r="E59" t="s">
        <v>461</v>
      </c>
      <c r="F59" s="34">
        <v>-3388.63</v>
      </c>
      <c r="G59" t="s">
        <v>464</v>
      </c>
      <c r="H59" t="s">
        <v>24</v>
      </c>
      <c r="I59" t="s">
        <v>465</v>
      </c>
    </row>
    <row r="60" spans="1:9" x14ac:dyDescent="0.25">
      <c r="A60" t="s">
        <v>483</v>
      </c>
      <c r="B60" t="s">
        <v>494</v>
      </c>
      <c r="C60" t="s">
        <v>460</v>
      </c>
      <c r="D60" t="s">
        <v>24</v>
      </c>
      <c r="E60" t="s">
        <v>461</v>
      </c>
      <c r="F60" s="34">
        <v>67432.87</v>
      </c>
      <c r="G60" t="s">
        <v>464</v>
      </c>
      <c r="H60" t="s">
        <v>24</v>
      </c>
      <c r="I60" t="s">
        <v>465</v>
      </c>
    </row>
    <row r="61" spans="1:9" x14ac:dyDescent="0.25">
      <c r="A61" t="s">
        <v>484</v>
      </c>
      <c r="B61" t="s">
        <v>494</v>
      </c>
      <c r="C61" t="s">
        <v>460</v>
      </c>
      <c r="D61" t="s">
        <v>24</v>
      </c>
      <c r="E61" t="s">
        <v>461</v>
      </c>
      <c r="F61" s="34">
        <v>-961.1</v>
      </c>
      <c r="G61" t="s">
        <v>464</v>
      </c>
      <c r="H61" t="s">
        <v>24</v>
      </c>
      <c r="I61" t="s">
        <v>465</v>
      </c>
    </row>
    <row r="62" spans="1:9" x14ac:dyDescent="0.25">
      <c r="A62" t="s">
        <v>485</v>
      </c>
      <c r="B62" t="s">
        <v>494</v>
      </c>
      <c r="C62" t="s">
        <v>460</v>
      </c>
      <c r="D62" t="s">
        <v>24</v>
      </c>
      <c r="E62" t="s">
        <v>461</v>
      </c>
      <c r="F62" s="34">
        <v>621.788</v>
      </c>
      <c r="G62" t="s">
        <v>464</v>
      </c>
      <c r="H62" t="s">
        <v>24</v>
      </c>
      <c r="I62" t="s">
        <v>465</v>
      </c>
    </row>
    <row r="63" spans="1:1" x14ac:dyDescent="0.25">
      <c r="A63" s="2" t="s">
        <v>502</v>
      </c>
    </row>
    <row r="65" spans="1:8" x14ac:dyDescent="0.25">
      <c r="A65" s="3" t="s">
        <v>503</v>
      </c>
      <c r="B65" s="4"/>
      <c r="C65" s="4"/>
      <c r="D65" s="4"/>
      <c r="E65" s="4"/>
      <c r="F65" s="4"/>
      <c r="G65" s="4"/>
      <c r="H65" s="4"/>
    </row>
    <row r="66" spans="1:8" x14ac:dyDescent="0.25">
      <c r="A66" s="9" t="s">
        <v>451</v>
      </c>
      <c r="B66" s="10" t="s">
        <v>504</v>
      </c>
      <c r="C66" s="10" t="s">
        <v>505</v>
      </c>
      <c r="D66" s="10" t="s">
        <v>506</v>
      </c>
      <c r="E66" s="10" t="s">
        <v>507</v>
      </c>
      <c r="F66" s="10" t="s">
        <v>508</v>
      </c>
      <c r="G66" s="10" t="s">
        <v>509</v>
      </c>
      <c r="H66" s="10" t="s">
        <v>510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FormatPr defaultRowHeight="15" outlineLevelRow="0" outlineLevelCol="0" x14ac:dyDescent="55"/>
  <cols>
    <col min="1" max="1" width="56" customWidth="1"/>
    <col min="2" max="2" width="28" customWidth="1"/>
    <col min="3" max="3" width="70" customWidth="1"/>
    <col min="4" max="9" width="18" customWidth="1"/>
  </cols>
  <sheetData>
    <row r="1" spans="1:1" x14ac:dyDescent="0.25">
      <c r="A1" s="1" t="s">
        <v>511</v>
      </c>
    </row>
    <row r="2" spans="1:1" x14ac:dyDescent="0.25">
      <c r="A2" s="2" t="s">
        <v>512</v>
      </c>
    </row>
    <row r="4" spans="1:9" x14ac:dyDescent="0.25">
      <c r="A4" s="3" t="s">
        <v>513</v>
      </c>
      <c r="B4" s="4"/>
      <c r="C4" s="4"/>
      <c r="D4" s="4"/>
      <c r="E4" s="4"/>
      <c r="F4" s="4"/>
      <c r="G4" s="4"/>
      <c r="H4" s="4"/>
      <c r="I4" s="4"/>
    </row>
    <row r="5" spans="1:9" x14ac:dyDescent="0.25">
      <c r="A5" s="9" t="s">
        <v>514</v>
      </c>
      <c r="B5" s="10" t="s">
        <v>53</v>
      </c>
      <c r="C5" s="10" t="s">
        <v>515</v>
      </c>
      <c r="D5" s="10" t="s">
        <v>59</v>
      </c>
      <c r="E5" s="10" t="s">
        <v>6</v>
      </c>
      <c r="F5" s="10" t="s">
        <v>4</v>
      </c>
      <c r="G5" s="10" t="s">
        <v>516</v>
      </c>
      <c r="H5" s="10" t="s">
        <v>517</v>
      </c>
      <c r="I5" s="10" t="s">
        <v>518</v>
      </c>
    </row>
    <row r="6" spans="1:9" x14ac:dyDescent="0.25">
      <c r="A6" s="5" t="s">
        <v>519</v>
      </c>
      <c r="B6" t="s">
        <v>54</v>
      </c>
      <c r="C6" s="27">
        <v>939.1</v>
      </c>
      <c r="D6" t="s">
        <v>60</v>
      </c>
      <c r="E6" t="s">
        <v>73</v>
      </c>
      <c r="F6" s="27">
        <v>364.92</v>
      </c>
      <c r="G6">
        <v>0</v>
      </c>
      <c r="H6">
        <v>0</v>
      </c>
      <c r="I6" t="s">
        <v>520</v>
      </c>
    </row>
    <row r="7" spans="1:9" x14ac:dyDescent="0.25">
      <c r="A7" t="s">
        <v>521</v>
      </c>
      <c r="B7" t="s">
        <v>522</v>
      </c>
      <c r="C7" s="27">
        <v>939.1</v>
      </c>
      <c r="D7" t="s">
        <v>60</v>
      </c>
      <c r="E7" t="s">
        <v>73</v>
      </c>
      <c r="F7" s="27">
        <v>364.92</v>
      </c>
      <c r="G7" s="27">
        <f>F7-364.92</f>
        <v>0</v>
      </c>
      <c r="H7" s="33">
        <f>G7/364.92</f>
        <v>0</v>
      </c>
      <c r="I7" t="s">
        <v>520</v>
      </c>
    </row>
    <row r="9" spans="1:9" x14ac:dyDescent="0.25">
      <c r="A9" s="3" t="s">
        <v>523</v>
      </c>
      <c r="B9" s="4"/>
      <c r="C9" s="4"/>
      <c r="D9" s="4"/>
      <c r="E9" s="4"/>
      <c r="F9" s="4"/>
      <c r="G9" s="4"/>
      <c r="H9" s="4"/>
      <c r="I9" s="4"/>
    </row>
    <row r="10" spans="1:1" x14ac:dyDescent="0.25">
      <c r="A10" t="s">
        <v>524</v>
      </c>
    </row>
    <row r="12" spans="1:9" x14ac:dyDescent="0.25">
      <c r="A12" s="3" t="s">
        <v>525</v>
      </c>
      <c r="B12" s="4"/>
      <c r="C12" s="4"/>
      <c r="D12" s="4"/>
      <c r="E12" s="4"/>
      <c r="F12" s="4"/>
      <c r="G12" s="4"/>
      <c r="H12" s="4"/>
      <c r="I12" s="4"/>
    </row>
    <row r="13" spans="1:3" x14ac:dyDescent="0.25">
      <c r="A13" t="s">
        <v>526</v>
      </c>
      <c r="B13" t="s">
        <v>527</v>
      </c>
      <c r="C13" t="s">
        <v>528</v>
      </c>
    </row>
    <row r="14" spans="1:3" x14ac:dyDescent="0.25">
      <c r="A14" t="s">
        <v>529</v>
      </c>
      <c r="B14" t="s">
        <v>530</v>
      </c>
      <c r="C14" t="s">
        <v>531</v>
      </c>
    </row>
    <row r="15" spans="1:3" x14ac:dyDescent="0.25">
      <c r="A15" t="s">
        <v>526</v>
      </c>
      <c r="B15" t="s">
        <v>532</v>
      </c>
      <c r="C15" t="s">
        <v>533</v>
      </c>
    </row>
    <row r="16" spans="1:3" x14ac:dyDescent="0.25">
      <c r="A16" t="s">
        <v>526</v>
      </c>
      <c r="B16" t="s">
        <v>534</v>
      </c>
      <c r="C16" t="s">
        <v>535</v>
      </c>
    </row>
    <row r="17" spans="1:1" x14ac:dyDescent="0.25">
      <c r="A17" s="2" t="s">
        <v>536</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pane ySplit="3" topLeftCell="A4" activePane="bottomLeft" state="frozen"/>
      <selection pane="bottomLeft"/>
    </sheetView>
  </sheetViews>
  <sheetFormatPr defaultRowHeight="15" outlineLevelRow="0" outlineLevelCol="0" x14ac:dyDescent="55"/>
  <cols>
    <col min="1" max="1" width="60" customWidth="1"/>
    <col min="2" max="2" width="28" customWidth="1"/>
    <col min="3" max="4" width="30" customWidth="1"/>
    <col min="5" max="5" width="24" customWidth="1"/>
    <col min="6" max="6" width="20" customWidth="1"/>
    <col min="7" max="7" width="70" customWidth="1"/>
    <col min="8" max="8" width="40" customWidth="1"/>
  </cols>
  <sheetData>
    <row r="1" spans="1:1" x14ac:dyDescent="0.25">
      <c r="A1" s="1" t="s">
        <v>537</v>
      </c>
    </row>
    <row r="2" spans="1:1" x14ac:dyDescent="0.25">
      <c r="A2" s="2" t="s">
        <v>538</v>
      </c>
    </row>
    <row r="4" spans="1:8" x14ac:dyDescent="0.25">
      <c r="A4" s="3" t="s">
        <v>539</v>
      </c>
      <c r="B4" s="4"/>
      <c r="C4" s="4"/>
      <c r="D4" s="4"/>
      <c r="E4" s="4"/>
      <c r="F4" s="4"/>
      <c r="G4" s="4"/>
      <c r="H4" s="4"/>
    </row>
    <row r="5" spans="1:10" x14ac:dyDescent="0.25">
      <c r="A5" s="9" t="s">
        <v>540</v>
      </c>
      <c r="B5" s="10" t="s">
        <v>451</v>
      </c>
      <c r="C5" s="10" t="s">
        <v>363</v>
      </c>
      <c r="D5" s="10" t="s">
        <v>175</v>
      </c>
      <c r="E5" s="10" t="s">
        <v>541</v>
      </c>
      <c r="F5" s="10" t="s">
        <v>8</v>
      </c>
      <c r="G5" s="10" t="s">
        <v>542</v>
      </c>
      <c r="H5" s="10" t="s">
        <v>508</v>
      </c>
      <c r="I5" s="10" t="s">
        <v>543</v>
      </c>
      <c r="J5" s="10" t="s">
        <v>544</v>
      </c>
    </row>
    <row r="6" spans="1:10" x14ac:dyDescent="0.25">
      <c r="A6" t="s">
        <v>545</v>
      </c>
      <c r="B6" t="s">
        <v>459</v>
      </c>
      <c r="C6" s="27">
        <v>48319.6</v>
      </c>
      <c r="D6" t="s">
        <v>546</v>
      </c>
      <c r="E6" t="s">
        <v>299</v>
      </c>
      <c r="F6" t="s">
        <v>547</v>
      </c>
      <c r="G6" t="s">
        <v>548</v>
      </c>
      <c r="H6" t="s">
        <v>549</v>
      </c>
      <c r="I6" t="s">
        <v>24</v>
      </c>
      <c r="J6" t="s">
        <v>24</v>
      </c>
    </row>
    <row r="7" spans="1:10" x14ac:dyDescent="0.25">
      <c r="A7" t="s">
        <v>550</v>
      </c>
      <c r="B7" t="s">
        <v>459</v>
      </c>
      <c r="C7" s="27">
        <v>14451.2</v>
      </c>
      <c r="D7" t="s">
        <v>546</v>
      </c>
      <c r="E7" t="s">
        <v>299</v>
      </c>
      <c r="F7" t="s">
        <v>547</v>
      </c>
      <c r="G7" t="s">
        <v>548</v>
      </c>
      <c r="H7" t="s">
        <v>549</v>
      </c>
      <c r="I7" t="s">
        <v>24</v>
      </c>
      <c r="J7" t="s">
        <v>24</v>
      </c>
    </row>
    <row r="8" spans="1:10" x14ac:dyDescent="0.25">
      <c r="A8" t="s">
        <v>551</v>
      </c>
      <c r="B8" t="s">
        <v>486</v>
      </c>
      <c r="C8" s="27">
        <v>61204.9</v>
      </c>
      <c r="D8" t="s">
        <v>546</v>
      </c>
      <c r="E8" t="s">
        <v>299</v>
      </c>
      <c r="F8" t="s">
        <v>547</v>
      </c>
      <c r="G8" t="s">
        <v>552</v>
      </c>
      <c r="H8" t="s">
        <v>553</v>
      </c>
      <c r="I8" t="s">
        <v>24</v>
      </c>
      <c r="J8" t="s">
        <v>24</v>
      </c>
    </row>
    <row r="9" spans="1:10" x14ac:dyDescent="0.25">
      <c r="A9" t="s">
        <v>554</v>
      </c>
      <c r="B9" t="s">
        <v>486</v>
      </c>
      <c r="C9" s="27">
        <v>16637.8</v>
      </c>
      <c r="D9" t="s">
        <v>546</v>
      </c>
      <c r="E9" t="s">
        <v>299</v>
      </c>
      <c r="F9" t="s">
        <v>547</v>
      </c>
      <c r="G9" t="s">
        <v>552</v>
      </c>
      <c r="H9" t="s">
        <v>553</v>
      </c>
      <c r="I9" t="s">
        <v>24</v>
      </c>
      <c r="J9" t="s">
        <v>24</v>
      </c>
    </row>
    <row r="10" spans="1:10" x14ac:dyDescent="0.25">
      <c r="A10" t="s">
        <v>555</v>
      </c>
      <c r="B10" t="s">
        <v>494</v>
      </c>
      <c r="C10" s="27">
        <v>72783.1</v>
      </c>
      <c r="D10" t="s">
        <v>546</v>
      </c>
      <c r="E10" t="s">
        <v>299</v>
      </c>
      <c r="F10" t="s">
        <v>547</v>
      </c>
      <c r="G10" t="s">
        <v>556</v>
      </c>
      <c r="H10" t="s">
        <v>557</v>
      </c>
      <c r="I10" t="s">
        <v>24</v>
      </c>
      <c r="J10" t="s">
        <v>24</v>
      </c>
    </row>
    <row r="11" spans="1:10" x14ac:dyDescent="0.25">
      <c r="A11" t="s">
        <v>558</v>
      </c>
      <c r="B11" t="s">
        <v>494</v>
      </c>
      <c r="C11" s="27">
        <v>19017.4</v>
      </c>
      <c r="D11" t="s">
        <v>546</v>
      </c>
      <c r="E11" t="s">
        <v>299</v>
      </c>
      <c r="F11" t="s">
        <v>547</v>
      </c>
      <c r="G11" t="s">
        <v>556</v>
      </c>
      <c r="H11" t="s">
        <v>557</v>
      </c>
      <c r="I11" t="s">
        <v>24</v>
      </c>
      <c r="J11" t="s">
        <v>24</v>
      </c>
    </row>
    <row r="13" spans="1:8" x14ac:dyDescent="0.25">
      <c r="A13" s="3" t="s">
        <v>559</v>
      </c>
      <c r="B13" s="4"/>
      <c r="C13" s="4"/>
      <c r="D13" s="4"/>
      <c r="E13" s="4"/>
      <c r="F13" s="4"/>
      <c r="G13" s="4"/>
      <c r="H13" s="4"/>
    </row>
    <row r="14" spans="1:7" x14ac:dyDescent="0.25">
      <c r="A14" s="9" t="s">
        <v>362</v>
      </c>
      <c r="B14" s="10" t="s">
        <v>560</v>
      </c>
      <c r="C14" s="10" t="s">
        <v>10</v>
      </c>
      <c r="D14" s="10" t="s">
        <v>561</v>
      </c>
      <c r="E14" s="10" t="s">
        <v>562</v>
      </c>
      <c r="F14" s="10" t="s">
        <v>563</v>
      </c>
      <c r="G14" s="10" t="s">
        <v>366</v>
      </c>
    </row>
    <row r="15" spans="1:7" x14ac:dyDescent="0.25">
      <c r="A15" t="s">
        <v>564</v>
      </c>
      <c r="B15" t="s">
        <v>302</v>
      </c>
      <c r="C15" s="5" t="s">
        <v>565</v>
      </c>
      <c r="D15" t="s">
        <v>24</v>
      </c>
      <c r="E15" t="s">
        <v>24</v>
      </c>
      <c r="F15" s="27">
        <v>14.68</v>
      </c>
      <c r="G15" t="s">
        <v>566</v>
      </c>
    </row>
    <row r="16" spans="1:7" x14ac:dyDescent="0.25">
      <c r="A16" t="s">
        <v>567</v>
      </c>
      <c r="B16" t="s">
        <v>302</v>
      </c>
      <c r="C16" t="s">
        <v>568</v>
      </c>
      <c r="D16" t="s">
        <v>24</v>
      </c>
      <c r="E16" t="s">
        <v>24</v>
      </c>
      <c r="F16" s="27">
        <v>0</v>
      </c>
      <c r="G16" t="s">
        <v>569</v>
      </c>
    </row>
    <row r="17" spans="1:7" x14ac:dyDescent="0.25">
      <c r="A17" t="s">
        <v>570</v>
      </c>
      <c r="B17" t="s">
        <v>302</v>
      </c>
      <c r="C17" t="s">
        <v>568</v>
      </c>
      <c r="D17" t="s">
        <v>24</v>
      </c>
      <c r="E17" t="s">
        <v>24</v>
      </c>
      <c r="F17" s="27">
        <v>0</v>
      </c>
      <c r="G17" t="s">
        <v>571</v>
      </c>
    </row>
    <row r="18" spans="1:7" x14ac:dyDescent="0.25">
      <c r="A18" t="s">
        <v>572</v>
      </c>
      <c r="B18" t="s">
        <v>302</v>
      </c>
      <c r="C18" t="s">
        <v>568</v>
      </c>
      <c r="D18" t="s">
        <v>24</v>
      </c>
      <c r="E18" t="s">
        <v>24</v>
      </c>
      <c r="F18" s="27">
        <v>0</v>
      </c>
      <c r="G18" t="s">
        <v>573</v>
      </c>
    </row>
    <row r="19" spans="1:7" x14ac:dyDescent="0.25">
      <c r="A19" t="s">
        <v>574</v>
      </c>
      <c r="B19" t="s">
        <v>302</v>
      </c>
      <c r="C19" t="s">
        <v>568</v>
      </c>
      <c r="D19" t="s">
        <v>24</v>
      </c>
      <c r="E19" t="s">
        <v>24</v>
      </c>
      <c r="F19" s="27">
        <v>0</v>
      </c>
      <c r="G19" t="s">
        <v>575</v>
      </c>
    </row>
    <row r="20" spans="1:7" x14ac:dyDescent="0.25">
      <c r="A20" t="s">
        <v>576</v>
      </c>
      <c r="B20" t="s">
        <v>302</v>
      </c>
      <c r="C20" t="s">
        <v>568</v>
      </c>
      <c r="D20" t="s">
        <v>24</v>
      </c>
      <c r="E20" t="s">
        <v>24</v>
      </c>
      <c r="F20" s="27">
        <v>0</v>
      </c>
      <c r="G20" t="s">
        <v>577</v>
      </c>
    </row>
    <row r="21" spans="1:7" x14ac:dyDescent="0.25">
      <c r="A21" t="s">
        <v>578</v>
      </c>
      <c r="B21" t="s">
        <v>302</v>
      </c>
      <c r="C21" t="s">
        <v>568</v>
      </c>
      <c r="D21" t="s">
        <v>24</v>
      </c>
      <c r="E21" t="s">
        <v>24</v>
      </c>
      <c r="F21" s="27">
        <v>0</v>
      </c>
      <c r="G21" t="s">
        <v>579</v>
      </c>
    </row>
    <row r="22" spans="1:7" x14ac:dyDescent="0.25">
      <c r="A22" t="s">
        <v>580</v>
      </c>
      <c r="B22" t="s">
        <v>302</v>
      </c>
      <c r="C22" t="s">
        <v>568</v>
      </c>
      <c r="D22" t="s">
        <v>24</v>
      </c>
      <c r="E22" t="s">
        <v>24</v>
      </c>
      <c r="F22" s="27">
        <v>0</v>
      </c>
      <c r="G22" t="s">
        <v>581</v>
      </c>
    </row>
    <row r="23" spans="1:7" x14ac:dyDescent="0.25">
      <c r="A23" t="s">
        <v>582</v>
      </c>
      <c r="B23" t="s">
        <v>302</v>
      </c>
      <c r="C23" t="s">
        <v>568</v>
      </c>
      <c r="D23" t="s">
        <v>24</v>
      </c>
      <c r="E23" t="s">
        <v>24</v>
      </c>
      <c r="F23" s="27">
        <v>0</v>
      </c>
      <c r="G23" t="s">
        <v>583</v>
      </c>
    </row>
    <row r="24" spans="1:7" x14ac:dyDescent="0.25">
      <c r="A24" t="s">
        <v>584</v>
      </c>
      <c r="B24" t="s">
        <v>302</v>
      </c>
      <c r="C24" t="s">
        <v>568</v>
      </c>
      <c r="D24" t="s">
        <v>24</v>
      </c>
      <c r="E24" t="s">
        <v>24</v>
      </c>
      <c r="F24" s="27">
        <v>0</v>
      </c>
      <c r="G24" t="s">
        <v>585</v>
      </c>
    </row>
    <row r="25" spans="1:7" x14ac:dyDescent="0.25">
      <c r="A25" t="s">
        <v>586</v>
      </c>
      <c r="B25" t="s">
        <v>302</v>
      </c>
      <c r="C25" t="s">
        <v>568</v>
      </c>
      <c r="D25" t="s">
        <v>24</v>
      </c>
      <c r="E25" t="s">
        <v>24</v>
      </c>
      <c r="F25" s="27">
        <v>0</v>
      </c>
      <c r="G25" t="s">
        <v>587</v>
      </c>
    </row>
    <row r="26" spans="1:7" x14ac:dyDescent="0.25">
      <c r="A26" t="s">
        <v>588</v>
      </c>
      <c r="B26" t="s">
        <v>589</v>
      </c>
      <c r="C26" t="s">
        <v>568</v>
      </c>
      <c r="D26" t="s">
        <v>24</v>
      </c>
      <c r="E26" t="s">
        <v>24</v>
      </c>
      <c r="F26" t="s">
        <v>24</v>
      </c>
      <c r="G26" t="s">
        <v>590</v>
      </c>
    </row>
    <row r="27" spans="1:7" x14ac:dyDescent="0.25">
      <c r="A27" t="s">
        <v>591</v>
      </c>
      <c r="B27" t="s">
        <v>592</v>
      </c>
      <c r="C27" t="s">
        <v>568</v>
      </c>
      <c r="D27" t="s">
        <v>24</v>
      </c>
      <c r="E27" t="s">
        <v>24</v>
      </c>
      <c r="F27" t="s">
        <v>24</v>
      </c>
      <c r="G27" t="s">
        <v>593</v>
      </c>
    </row>
    <row r="28" spans="1:7" x14ac:dyDescent="0.25">
      <c r="A28" t="s">
        <v>594</v>
      </c>
      <c r="B28" t="s">
        <v>595</v>
      </c>
      <c r="C28" t="s">
        <v>568</v>
      </c>
      <c r="D28" t="s">
        <v>24</v>
      </c>
      <c r="E28" t="s">
        <v>24</v>
      </c>
      <c r="F28" t="s">
        <v>24</v>
      </c>
      <c r="G28" t="s">
        <v>596</v>
      </c>
    </row>
    <row r="30" spans="1:8" x14ac:dyDescent="0.25">
      <c r="A30" s="3" t="s">
        <v>597</v>
      </c>
      <c r="B30" s="4"/>
      <c r="C30" s="4"/>
      <c r="D30" s="4"/>
      <c r="E30" s="4"/>
      <c r="F30" s="4"/>
      <c r="G30" s="4"/>
      <c r="H30" s="4"/>
    </row>
    <row r="31" spans="1:5" x14ac:dyDescent="0.25">
      <c r="A31" s="9" t="s">
        <v>598</v>
      </c>
      <c r="B31" s="10" t="s">
        <v>560</v>
      </c>
      <c r="C31" s="10" t="s">
        <v>599</v>
      </c>
      <c r="D31" s="10" t="s">
        <v>600</v>
      </c>
      <c r="E31" s="10" t="s">
        <v>601</v>
      </c>
    </row>
    <row r="32" spans="1:5" x14ac:dyDescent="0.25">
      <c r="A32" t="s">
        <v>602</v>
      </c>
      <c r="B32" t="s">
        <v>603</v>
      </c>
      <c r="C32" t="s">
        <v>604</v>
      </c>
      <c r="D32" t="s">
        <v>248</v>
      </c>
      <c r="E32" t="s">
        <v>605</v>
      </c>
    </row>
    <row r="34" spans="1:8" x14ac:dyDescent="0.25">
      <c r="A34" s="3" t="s">
        <v>606</v>
      </c>
      <c r="B34" s="4"/>
      <c r="C34" s="4"/>
      <c r="D34" s="4"/>
      <c r="E34" s="4"/>
      <c r="F34" s="4"/>
      <c r="G34" s="4"/>
      <c r="H34" s="4"/>
    </row>
    <row r="35" spans="1:2" x14ac:dyDescent="0.25">
      <c r="A35" s="5" t="s">
        <v>607</v>
      </c>
      <c r="B35" t="s">
        <v>608</v>
      </c>
    </row>
    <row r="36" spans="1:2" x14ac:dyDescent="0.25">
      <c r="A36" s="5" t="s">
        <v>55</v>
      </c>
      <c r="B36" t="s">
        <v>56</v>
      </c>
    </row>
    <row r="37" spans="1:2" x14ac:dyDescent="0.25">
      <c r="A37" s="5" t="s">
        <v>74</v>
      </c>
      <c r="B37" t="s">
        <v>75</v>
      </c>
    </row>
    <row r="38" spans="1:2" x14ac:dyDescent="0.25">
      <c r="A38" s="5" t="s">
        <v>6</v>
      </c>
      <c r="B38" t="s">
        <v>73</v>
      </c>
    </row>
    <row r="39" spans="1:2" x14ac:dyDescent="0.25">
      <c r="A39" s="5" t="s">
        <v>609</v>
      </c>
      <c r="B39" t="s">
        <v>610</v>
      </c>
    </row>
    <row r="40" spans="1:2" x14ac:dyDescent="0.25">
      <c r="A40" s="5" t="s">
        <v>8</v>
      </c>
      <c r="B40" t="s">
        <v>611</v>
      </c>
    </row>
    <row r="41" spans="1:2" x14ac:dyDescent="0.25">
      <c r="A41" s="5" t="s">
        <v>612</v>
      </c>
      <c r="B41" t="s">
        <v>229</v>
      </c>
    </row>
    <row r="42" spans="1:3" x14ac:dyDescent="0.25">
      <c r="A42" s="5" t="s">
        <v>613</v>
      </c>
      <c r="B42" t="s">
        <v>236</v>
      </c>
      <c r="C42" t="s">
        <v>238</v>
      </c>
    </row>
    <row r="43" spans="1:3" x14ac:dyDescent="0.25">
      <c r="A43" s="5" t="s">
        <v>613</v>
      </c>
      <c r="B43" t="s">
        <v>239</v>
      </c>
      <c r="C43" t="s">
        <v>240</v>
      </c>
    </row>
    <row r="44" spans="1:3" x14ac:dyDescent="0.25">
      <c r="A44" s="5" t="s">
        <v>613</v>
      </c>
      <c r="B44" t="s">
        <v>241</v>
      </c>
      <c r="C44" t="s">
        <v>242</v>
      </c>
    </row>
    <row r="45" spans="1:3" x14ac:dyDescent="0.25">
      <c r="A45" s="5" t="s">
        <v>613</v>
      </c>
      <c r="B45" t="s">
        <v>243</v>
      </c>
      <c r="C45" t="s">
        <v>244</v>
      </c>
    </row>
    <row r="46" spans="1:2" x14ac:dyDescent="0.25">
      <c r="A46" s="5" t="s">
        <v>614</v>
      </c>
      <c r="B46" t="s">
        <v>615</v>
      </c>
    </row>
    <row r="48" spans="1:8" x14ac:dyDescent="0.25">
      <c r="A48" s="3" t="s">
        <v>616</v>
      </c>
      <c r="B48" s="4"/>
      <c r="C48" s="4"/>
      <c r="D48" s="4"/>
      <c r="E48" s="4"/>
      <c r="F48" s="4"/>
      <c r="G48" s="4"/>
      <c r="H48" s="4"/>
    </row>
    <row r="49" spans="1:1" x14ac:dyDescent="0.25">
      <c r="A49" s="2" t="s">
        <v>617</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cols>
    <col min="1" max="1" width="48" customWidth="1"/>
    <col min="2" max="7" width="16" customWidth="1"/>
  </cols>
  <sheetData>
    <row r="1" spans="1:1" x14ac:dyDescent="0.25">
      <c r="A1" s="1" t="s">
        <v>618</v>
      </c>
    </row>
    <row r="2" spans="1:1" x14ac:dyDescent="0.25">
      <c r="A2" s="2" t="s">
        <v>619</v>
      </c>
    </row>
    <row r="4" spans="1:6" x14ac:dyDescent="0.25">
      <c r="A4" s="3" t="s">
        <v>620</v>
      </c>
      <c r="B4" s="4"/>
      <c r="C4" s="4"/>
      <c r="D4" s="4"/>
      <c r="E4" s="4"/>
      <c r="F4" s="4"/>
    </row>
    <row r="5" spans="1:1" x14ac:dyDescent="0.25">
      <c r="A5" s="2" t="s">
        <v>621</v>
      </c>
    </row>
    <row r="7" spans="1:6" x14ac:dyDescent="0.25">
      <c r="A7" s="3" t="s">
        <v>622</v>
      </c>
      <c r="B7" s="4"/>
      <c r="C7" s="4"/>
      <c r="D7" s="4"/>
      <c r="E7" s="4"/>
      <c r="F7" s="4"/>
    </row>
    <row r="8" spans="1:6" x14ac:dyDescent="0.25">
      <c r="A8" s="9" t="s">
        <v>210</v>
      </c>
      <c r="B8" s="10" t="s">
        <v>215</v>
      </c>
      <c r="C8" s="10" t="s">
        <v>216</v>
      </c>
      <c r="D8" s="10" t="s">
        <v>217</v>
      </c>
      <c r="E8" s="10" t="s">
        <v>218</v>
      </c>
      <c r="F8" s="10" t="s">
        <v>219</v>
      </c>
    </row>
    <row r="9" spans="1:6" x14ac:dyDescent="0.25">
      <c r="A9" t="s">
        <v>220</v>
      </c>
      <c r="B9" s="27">
        <v>318.32</v>
      </c>
      <c r="C9" s="27">
        <v>364.92</v>
      </c>
      <c r="D9" s="27">
        <v>423.95</v>
      </c>
      <c r="E9" s="16">
        <v>100</v>
      </c>
      <c r="F9" t="s">
        <v>221</v>
      </c>
    </row>
    <row r="10" spans="1:6" x14ac:dyDescent="0.25">
      <c r="A10" t="s">
        <v>222</v>
      </c>
      <c r="B10" s="27">
        <v>290.22</v>
      </c>
      <c r="C10" s="27">
        <v>323.08</v>
      </c>
      <c r="D10" s="27">
        <v>364.35</v>
      </c>
      <c r="E10" s="16">
        <v>0</v>
      </c>
      <c r="F10" t="s">
        <v>223</v>
      </c>
    </row>
    <row r="11" spans="1:6" x14ac:dyDescent="0.25">
      <c r="A11" t="s">
        <v>224</v>
      </c>
      <c r="B11" s="27">
        <v>297.01</v>
      </c>
      <c r="C11" s="27">
        <v>342.65</v>
      </c>
      <c r="D11" s="27">
        <v>400.68</v>
      </c>
      <c r="E11" s="16">
        <v>0</v>
      </c>
      <c r="F11" t="s">
        <v>223</v>
      </c>
    </row>
  </sheetData>
  <pageMargins left="0.7" right="0.7" top="0.75" bottom="0.75" header="0.3" footer="0.3"/>
  <pageSetup orientation="portrait" horizontalDpi="4294967295" verticalDpi="4294967295" scale="100" fitToWidth="1" fitToHeight="1"/>
  <drawing r:id="rIdDrawing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Income Statement</vt:lpstr>
      <vt:lpstr>Balance Sheet</vt:lpstr>
      <vt:lpstr>Cash Flow</vt:lpstr>
      <vt:lpstr>Operating Drivers</vt:lpstr>
      <vt:lpstr>Valuation</vt:lpstr>
      <vt:lpstr>Peers</vt:lpstr>
      <vt:lpstr>Scenarios &amp; Assumptions</vt:lpstr>
      <vt:lpstr>Quarterly</vt:lpstr>
      <vt:lpstr>Common Size</vt:lpstr>
      <vt:lpstr>Schedules</vt:lpstr>
      <vt:lpstr>Facts</vt:lpstr>
      <vt:lpstr>Change Log</vt:lpstr>
      <vt:lpstr>Source Audit</vt:lpstr>
      <vt:lpstr>Chart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ASTRA Financial Model</dc:creator>
  <dc:title/>
  <dc:subject/>
  <dc:description/>
  <cp:keywords/>
  <cp:category/>
  <cp:lastModifiedBy>Unknown</cp:lastModifiedBy>
  <dcterms:created xsi:type="dcterms:W3CDTF">2026-11-01T15:05:35Z</dcterms:created>
  <dcterms:modified xsi:type="dcterms:W3CDTF">2026-11-01T15:05:35Z</dcterms:modified>
</cp:coreProperties>
</file>