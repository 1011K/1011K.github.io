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come Statement" state="visible" r:id="rId5"/>
    <sheet sheetId="3" name="Balance Sheet" state="visible" r:id="rId6"/>
    <sheet sheetId="4" name="Cash Flow" state="visible" r:id="rId7"/>
    <sheet sheetId="5" name="Operating Drivers" state="visible" r:id="rId8"/>
    <sheet sheetId="6" name="Valuation" state="visible" r:id="rId9"/>
    <sheet sheetId="7" name="Peers" state="visible" r:id="rId10"/>
    <sheet sheetId="8" name="Scenarios &amp; Assumptions" state="visible" r:id="rId11"/>
    <sheet sheetId="9" name="Quarterly" state="visible" r:id="rId12"/>
    <sheet sheetId="10" name="Common Size" state="visible" r:id="rId13"/>
    <sheet sheetId="11" name="Schedules" state="visible" r:id="rId14"/>
    <sheet sheetId="12" name="Facts" state="visible" r:id="rId15"/>
    <sheet sheetId="13" name="Change Log" state="visible" r:id="rId16"/>
    <sheet sheetId="14" name="Source Audit" state="visible" r:id="rId17"/>
    <sheet sheetId="15" name="Chart Data" state="visible" r:id="rId18"/>
  </sheets>
  <definedNames>
    <definedName name="CurrentPrice">Valuation!$B$7</definedName>
    <definedName name="SnapshotId">Summary!$B$41</definedName>
    <definedName name="SnapshotHash">Summary!$B$42</definedName>
    <definedName name="Years_Header">'Income Statement'!$B$4:$J$4</definedName>
    <definedName name="Revenue_Series">'Income Statement'!$B$5:$J$5</definedName>
    <definedName name="EBITDA_Series">'Income Statement'!$B$10:$J$10</definedName>
    <definedName name="NetIncome_Series">'Income Statement'!$B$20:$J$20</definedName>
    <definedName name="EPS_Series">'Income Statement'!$B$25:$J$25</definedName>
    <definedName name="CFO_Series">'Cash Flow'!$B$13:$J$13</definedName>
    <definedName name="Capex_Series">'Cash Flow'!$B$15:$J$15</definedName>
  </definedNames>
  <calcPr calcId="171027" fullCalcOnLoad="1"/>
</workbook>
</file>

<file path=xl/sharedStrings.xml><?xml version="1.0" encoding="utf-8"?>
<sst xmlns="http://schemas.openxmlformats.org/spreadsheetml/2006/main" count="2266" uniqueCount="601">
  <si>
    <t>DLF Limited (DLF.NS)</t>
  </si>
  <si>
    <t>Real Estate Developer . NSE . base period FY26 . ₹ Crores unless stated</t>
  </si>
  <si>
    <t>VALUATION AND DECISION</t>
  </si>
  <si>
    <t>Current price (INR)</t>
  </si>
  <si>
    <t>Fair value per share (INR)</t>
  </si>
  <si>
    <t>WITHHELD</t>
  </si>
  <si>
    <t>Model valuation spread vs price (an unaudited model output, not a rating; not independently audited)</t>
  </si>
  <si>
    <t>n/a</t>
  </si>
  <si>
    <t>Primary method</t>
  </si>
  <si>
    <t>Sum of the parts</t>
  </si>
  <si>
    <t>Confidence</t>
  </si>
  <si>
    <t>LOW</t>
  </si>
  <si>
    <t>Why withheld</t>
  </si>
  <si>
    <t>Valuation routing failed: [REAL_ESTATE_NAV_INPUTS_UNAVAILABLE] DLF.NS: project-level saleable area, realisation, land-bank value, rental NOI, occupancy and attributed discount-rate evidence are not present in the canonical provider spine. Refusing the former carrying-value DCF floor: it used a 4% terminal growth rate, 8.5% debt cost, 1.30 beta and 25.17% tax fallback while labelling the result NAV.</t>
  </si>
  <si>
    <t>KEY FINANCIALS (₹ Crores)</t>
  </si>
  <si>
    <t>Source sheet</t>
  </si>
  <si>
    <t>FY23A</t>
  </si>
  <si>
    <t>FY24A</t>
  </si>
  <si>
    <t>FY25A</t>
  </si>
  <si>
    <t>FY26A</t>
  </si>
  <si>
    <t>FY27E</t>
  </si>
  <si>
    <t>FY28E</t>
  </si>
  <si>
    <t>FY29E</t>
  </si>
  <si>
    <t>FY30E</t>
  </si>
  <si>
    <t>FY31E</t>
  </si>
  <si>
    <t>Revenue from operations</t>
  </si>
  <si>
    <t>Income Statement</t>
  </si>
  <si>
    <t>EBITDA</t>
  </si>
  <si>
    <t>EBITDA margin</t>
  </si>
  <si>
    <t>Net income</t>
  </si>
  <si>
    <t>Diluted EPS (INR)</t>
  </si>
  <si>
    <t>Free cash flow (CFO - CapEx)</t>
  </si>
  <si>
    <t>Cash Flow</t>
  </si>
  <si>
    <t>Return on equity</t>
  </si>
  <si>
    <t>engine ratio</t>
  </si>
  <si>
    <t>RELATIVE POSITION (subject vs peer median; detail on the Peers sheet)</t>
  </si>
  <si>
    <t>Metric</t>
  </si>
  <si>
    <t>Subject</t>
  </si>
  <si>
    <t>Peer median</t>
  </si>
  <si>
    <t>Peers (n)</t>
  </si>
  <si>
    <t>P/E</t>
  </si>
  <si>
    <t>EV/EBITDA</t>
  </si>
  <si>
    <t>P/B</t>
  </si>
  <si>
    <t>FCF yield</t>
  </si>
  <si>
    <t>ROE</t>
  </si>
  <si>
    <t>RISKS AND INVALIDATORS</t>
  </si>
  <si>
    <t>- Withheld: Linked three-statement forecast</t>
  </si>
  <si>
    <t>- Withheld: DCF cross-check</t>
  </si>
  <si>
    <t>- Withheld: Reverse DCF</t>
  </si>
  <si>
    <t>- Withheld: Segment analysis</t>
  </si>
  <si>
    <t>Every figure on this sheet links to its source sheet; nothing is calculated here. Formulas appear only where they reproduce the engine's own figure.</t>
  </si>
  <si>
    <t>Research only; not investment advice. A withheld, low-confidence or experimental output says so rather than offering a number.</t>
  </si>
  <si>
    <t>EXPORT SNAPSHOT (one immutable analysis behind every export of this model)</t>
  </si>
  <si>
    <t>Snapshot ID</t>
  </si>
  <si>
    <t>snap_DLF_NS_b844a0b66419</t>
  </si>
  <si>
    <t>Snapshot SHA-256</t>
  </si>
  <si>
    <t>b844a0b66419deb01694e6f298f621dd835c37c5430e8cd35bd6fbb1ef67b0c1</t>
  </si>
  <si>
    <t>Built at</t>
  </si>
  <si>
    <t>2026-11-01T15:04:41.411Z</t>
  </si>
  <si>
    <t>Analysis status</t>
  </si>
  <si>
    <t>INVALID</t>
  </si>
  <si>
    <t>Price</t>
  </si>
  <si>
    <t>INR 691.55</t>
  </si>
  <si>
    <t>Price as of</t>
  </si>
  <si>
    <t>2026-10-30T00:00:00.000Z</t>
  </si>
  <si>
    <t>Price stale</t>
  </si>
  <si>
    <t>false</t>
  </si>
  <si>
    <t>Price source</t>
  </si>
  <si>
    <t>NSE official close (UDiFF bhavcopy) + Screener.in structured dataset</t>
  </si>
  <si>
    <t>Assumptions SHA-256</t>
  </si>
  <si>
    <t>74234e98afe7498fb5daf1f36ac2d78acc339464f950703b8c019892f982b90b</t>
  </si>
  <si>
    <t>Engine git commit</t>
  </si>
  <si>
    <t>b7b86361d20c284ad0ff81aeacf46cd8392fc168+uncommitted</t>
  </si>
  <si>
    <t>Valuation engine version</t>
  </si>
  <si>
    <t>2.0.0</t>
  </si>
  <si>
    <t>Monte Carlo</t>
  </si>
  <si>
    <t>UNAVAILABLE</t>
  </si>
  <si>
    <t>SOTP_SUM_OF_PARTS</t>
  </si>
  <si>
    <t>Valuation status</t>
  </si>
  <si>
    <t>Fair value per share</t>
  </si>
  <si>
    <t>Model valuation spread vs price (an unaudited model output, not a rating; not independently audited) %</t>
  </si>
  <si>
    <t>v1 formula-trace coverage % (a different measure from "figures that reconcile" in the run-status table)</t>
  </si>
  <si>
    <t>66.7</t>
  </si>
  <si>
    <t>Audit status / test status</t>
  </si>
  <si>
    <t>FLAGGED / NOT_EVALUATED</t>
  </si>
  <si>
    <t>Source documents</t>
  </si>
  <si>
    <t>Screener.in structured statements (Consolidated; secondary aggregator)</t>
  </si>
  <si>
    <t>Income Statement (₹ Crores)</t>
  </si>
  <si>
    <t>DLF Limited (DLF.NS) . Consolidated . base period FY26</t>
  </si>
  <si>
    <t>A = reported . E = forecast . "n/a" = the source does not carry the line (never zero)</t>
  </si>
  <si>
    <t xml:space="preserve">  growth (%)</t>
  </si>
  <si>
    <t xml:space="preserve">  Employee benefit expenses</t>
  </si>
  <si>
    <t xml:space="preserve">  Other operating expenses</t>
  </si>
  <si>
    <t>Total operating expenses</t>
  </si>
  <si>
    <t>EBITDA (operating profit before D&amp;A)</t>
  </si>
  <si>
    <t xml:space="preserve">  EBITDA margin (%)</t>
  </si>
  <si>
    <t xml:space="preserve">  Depreciation &amp; amortisation</t>
  </si>
  <si>
    <t>EBIT (operating profit)</t>
  </si>
  <si>
    <t xml:space="preserve">  EBIT margin (%)</t>
  </si>
  <si>
    <t xml:space="preserve">  Other non-operating income</t>
  </si>
  <si>
    <t xml:space="preserve">  Finance costs</t>
  </si>
  <si>
    <t xml:space="preserve">  Exceptional items (before tax; charge negative)</t>
  </si>
  <si>
    <t>Profit before tax</t>
  </si>
  <si>
    <t xml:space="preserve">  Tax expense</t>
  </si>
  <si>
    <t>Net income / profit after tax</t>
  </si>
  <si>
    <t xml:space="preserve">  net margin (%)</t>
  </si>
  <si>
    <t xml:space="preserve">  Minority interest</t>
  </si>
  <si>
    <t>Profit attributable to shareholders</t>
  </si>
  <si>
    <t xml:space="preserve">  Diluted shares (crore)</t>
  </si>
  <si>
    <t>Balance Sheet (₹ Crores)</t>
  </si>
  <si>
    <t>CURRENT ASSETS</t>
  </si>
  <si>
    <t xml:space="preserve">  Cash and cash equivalents</t>
  </si>
  <si>
    <t xml:space="preserve">  Short-term investments</t>
  </si>
  <si>
    <t xml:space="preserve">  Trade receivables</t>
  </si>
  <si>
    <t xml:space="preserve">  Inventories</t>
  </si>
  <si>
    <t xml:space="preserve">  Other current assets</t>
  </si>
  <si>
    <t>Total current assets</t>
  </si>
  <si>
    <t>NON-CURRENT ASSETS</t>
  </si>
  <si>
    <t xml:space="preserve">  Property, plant &amp; equipment (net)</t>
  </si>
  <si>
    <t xml:space="preserve">  Intangibles &amp; goodwill</t>
  </si>
  <si>
    <t xml:space="preserve">  Non-current investments</t>
  </si>
  <si>
    <t xml:space="preserve">  Other non-current assets</t>
  </si>
  <si>
    <t>Total non-current assets</t>
  </si>
  <si>
    <t>TOTAL ASSETS</t>
  </si>
  <si>
    <t>CURRENT LIABILITIES</t>
  </si>
  <si>
    <t xml:space="preserve">  Trade payables</t>
  </si>
  <si>
    <t xml:space="preserve">  Short-term borrowings</t>
  </si>
  <si>
    <t xml:space="preserve">  Other current liabilities</t>
  </si>
  <si>
    <t>Total current liabilities</t>
  </si>
  <si>
    <t>NON-CURRENT LIABILITIES</t>
  </si>
  <si>
    <t xml:space="preserve">  Long-term debt</t>
  </si>
  <si>
    <t xml:space="preserve">  Lease liabilities</t>
  </si>
  <si>
    <t xml:space="preserve">  Deferred tax liabilities</t>
  </si>
  <si>
    <t xml:space="preserve">  Other non-current liabilities</t>
  </si>
  <si>
    <t>Total non-current liabilities</t>
  </si>
  <si>
    <t>TOTAL LIABILITIES</t>
  </si>
  <si>
    <t>EQUITY</t>
  </si>
  <si>
    <t xml:space="preserve">  Share capital</t>
  </si>
  <si>
    <t xml:space="preserve">  Reserves &amp; surplus</t>
  </si>
  <si>
    <t xml:space="preserve">  Other equity</t>
  </si>
  <si>
    <t xml:space="preserve">  Non-controlling interests</t>
  </si>
  <si>
    <t>TOTAL EQUITY</t>
  </si>
  <si>
    <t>TOTAL LIABILITIES AND EQUITY</t>
  </si>
  <si>
    <t>Balance check (assets - liabilities - equity)</t>
  </si>
  <si>
    <t>Cash Flow (₹ Crores)</t>
  </si>
  <si>
    <t>OPERATING ACTIVITIES</t>
  </si>
  <si>
    <t xml:space="preserve">  Net income</t>
  </si>
  <si>
    <t xml:space="preserve">  Other non-cash adjustments</t>
  </si>
  <si>
    <t xml:space="preserve">  Change in trade receivables</t>
  </si>
  <si>
    <t xml:space="preserve">  Change in inventories</t>
  </si>
  <si>
    <t xml:space="preserve">  Change in trade payables</t>
  </si>
  <si>
    <t xml:space="preserve">  Change in other working capital</t>
  </si>
  <si>
    <t>Cash from operations (CFO)</t>
  </si>
  <si>
    <t>INVESTING ACTIVITIES</t>
  </si>
  <si>
    <t xml:space="preserve">  Capital expenditure</t>
  </si>
  <si>
    <t xml:space="preserve">  Net purchase / sale of investments</t>
  </si>
  <si>
    <t xml:space="preserve">  Other investing activities</t>
  </si>
  <si>
    <t>Cash from investing (CFI)</t>
  </si>
  <si>
    <t>FINANCING ACTIVITIES</t>
  </si>
  <si>
    <t xml:space="preserve">  Debt issued / (repaid)</t>
  </si>
  <si>
    <t xml:space="preserve">  Dividends paid</t>
  </si>
  <si>
    <t xml:space="preserve">  Share issuance / (repurchase)</t>
  </si>
  <si>
    <t xml:space="preserve">  Lease payments &amp; other financing</t>
  </si>
  <si>
    <t>Cash from financing (CFF)</t>
  </si>
  <si>
    <t>Net change in cash</t>
  </si>
  <si>
    <t xml:space="preserve">  Opening cash</t>
  </si>
  <si>
    <t>Closing cash</t>
  </si>
  <si>
    <t>FREE CASH FLOW (CFO - CapEx; CapEx a positive outflow; INR crore)</t>
  </si>
  <si>
    <t>Free cash flow (FCF)</t>
  </si>
  <si>
    <t xml:space="preserve">  FCF margin (FCF / revenue)</t>
  </si>
  <si>
    <t xml:space="preserve">  FCF conversion (FCF / net income)</t>
  </si>
  <si>
    <t>Operating Drivers</t>
  </si>
  <si>
    <t>The economic drivers the forecast is built from: what history shows, what the model assumes, and why. To change a driver, use the Model Builder in the application: it rebuilds the model and re-exports (a rebuilt state is labelled).</t>
  </si>
  <si>
    <t>Driver</t>
  </si>
  <si>
    <t>Revenue growth</t>
  </si>
  <si>
    <t>Employee cost (% of revenue)</t>
  </si>
  <si>
    <t>Other operating expenses (% of revenue)</t>
  </si>
  <si>
    <t>Effective tax rate</t>
  </si>
  <si>
    <t>Receivable days</t>
  </si>
  <si>
    <t>Inventory days</t>
  </si>
  <si>
    <t>Payable days</t>
  </si>
  <si>
    <t>Capex (% of revenue)</t>
  </si>
  <si>
    <t>Dividend payout ratio</t>
  </si>
  <si>
    <t>This issuer has no linked three-statement driver set; the drivers above are the legacy forecast assumptions as published.</t>
  </si>
  <si>
    <t>Revenue driver (provenance of the topline)</t>
  </si>
  <si>
    <t>Basis</t>
  </si>
  <si>
    <t>NOT_APPLICABLE: no sector volume x price driver; revenue grows on own reported history</t>
  </si>
  <si>
    <t>Unit</t>
  </si>
  <si>
    <t>Provenance</t>
  </si>
  <si>
    <t>Revenue growth from this company's own reported history. Sector volume x price driver UNAVAILABLE [SECTOR_DRIVER_DATA_UNAVAILABLE] for REAL_ESTATE: Presales Value = Presales Volume (msf) * Realization (INR/sqft) needs sourced Residential Presales Volume and Presales Realization per Sqft. Not held for DLF.NS: presales_volume_msf, presales_realization_per_sqft_inr. Note: presales are bookings; revenue is recognised on a different schedule, so presales x realisation is not revenue. No volume, price or growth is inferred.</t>
  </si>
  <si>
    <t>Valuation</t>
  </si>
  <si>
    <t>One primary method, routed by the company's economics; the rest are cross-checks and are never averaged into it. A withheld valuation states why and publishes no value.</t>
  </si>
  <si>
    <t>PRIMARY VALUATION</t>
  </si>
  <si>
    <t>Method</t>
  </si>
  <si>
    <t>No primary valuation was published.</t>
  </si>
  <si>
    <t>Status</t>
  </si>
  <si>
    <t>Price basis</t>
  </si>
  <si>
    <t>NSE official close of 2026-10-30</t>
  </si>
  <si>
    <t>Peers</t>
  </si>
  <si>
    <t>One peer payload, one statistic definition: the median is the headline; quartiles and the sample size sit beside it. Outliers (Tukey fences, 5+ peers) are shown struck from the statistics and listed. Statistics are live formulas over the peer cells.</t>
  </si>
  <si>
    <t>Whole-company comparable set . 5 peer(s) . analyst-defined REAL_ESTATE universe, subject excluded</t>
  </si>
  <si>
    <t>Listed Indian residential and commercial developers: project-cycle revenue recognition, lumpy cash flow, net-asset-value led.</t>
  </si>
  <si>
    <t>Basis: P/E and P/B for the subject and every peer are the provider's own figures, not recomputed from the model's FY26 EPS and BVPS, so the subject can differ from price / FY26 EPS (provider EPS and book-value dates are not stated by the provider).</t>
  </si>
  <si>
    <t>Company</t>
  </si>
  <si>
    <t>Comparability</t>
  </si>
  <si>
    <t>EV/EBIT</t>
  </si>
  <si>
    <t>EV/Sales</t>
  </si>
  <si>
    <t>FCF yield %</t>
  </si>
  <si>
    <t>Div. yield %</t>
  </si>
  <si>
    <t>ROIC %</t>
  </si>
  <si>
    <t>ROE %</t>
  </si>
  <si>
    <t>EBITDA margin %</t>
  </si>
  <si>
    <t>FCF margin %</t>
  </si>
  <si>
    <t>Cash conv. %</t>
  </si>
  <si>
    <t>Net debt/EBITDA</t>
  </si>
  <si>
    <t>Interest cover</t>
  </si>
  <si>
    <t>DLF.NS (subject)</t>
  </si>
  <si>
    <t>subject</t>
  </si>
  <si>
    <t>BRIGADE.NS</t>
  </si>
  <si>
    <t>MEDIUM (3/4)</t>
  </si>
  <si>
    <t>GODREJPROP.NS</t>
  </si>
  <si>
    <t>HIGH (4/4)</t>
  </si>
  <si>
    <t>-8.83 (outlier, excluded)</t>
  </si>
  <si>
    <t>LODHA.NS</t>
  </si>
  <si>
    <t>OBEROIRLTY.NS</t>
  </si>
  <si>
    <t>55.9 (outlier, excluded)</t>
  </si>
  <si>
    <t>PRESTIGE.NS</t>
  </si>
  <si>
    <t>47.97 (outlier, excluded)</t>
  </si>
  <si>
    <t>0.14 (outlier, excluded)</t>
  </si>
  <si>
    <t>25th percentile</t>
  </si>
  <si>
    <t>75th percentile</t>
  </si>
  <si>
    <t>Mean</t>
  </si>
  <si>
    <t>Peers used (n)</t>
  </si>
  <si>
    <t>Sample state</t>
  </si>
  <si>
    <t>LOW SAMPLE</t>
  </si>
  <si>
    <t>INSUFFICIENT PEERS</t>
  </si>
  <si>
    <t>VALID</t>
  </si>
  <si>
    <t>Subject vs median (%)</t>
  </si>
  <si>
    <t>Measured vs median: P/E +14.0x . P/B +0.6x . FCF yield +3.1pp . FCFE yield +1.2pp . Dividend yield +0.7pp . ROE -0.4pp . ROA +3.1pp . EBITDA margin -11.4pp</t>
  </si>
  <si>
    <t>mean / median / p25 / p75 use linear-interpolation quantiles (spreadsheet QUARTILE.INC / MEDIAN); non-finite values are dropped, never zeroed; a duplicated peer counts once. Tukey fences (Q1 - 1.5 x IQR, Q3 + 1.5 x IQR) applied only with 5 or more values; outliers are excluded from the statistics and listed.</t>
  </si>
  <si>
    <t>FCF = CFO - CapEx (latest annual fiscal year, INR crore, CapEx a positive outflow); FCF margin = FCF / revenue; FCF conversion = FCF / net profit; FCF yield = FCF / market cap; FCFE = FCF + net borrowing (needs both borrowing balances); FCF CAGR over 3 fiscal years needs both endpoints &gt; 0. Regulated financials carry no corporate FCF.</t>
  </si>
  <si>
    <t>Scenarios &amp; Assumptions</t>
  </si>
  <si>
    <t>What would change the answer: scenarios, the discount-rate / growth grid, what the price implies, and the assumptions and limits behind it.</t>
  </si>
  <si>
    <t>ASSUMPTIONS APPLIED</t>
  </si>
  <si>
    <t>Base case: no user override. Every driver is the history-derived recommendation or a disclosed model policy.</t>
  </si>
  <si>
    <t>WACC (%)</t>
  </si>
  <si>
    <t>Risk-free rate (%)</t>
  </si>
  <si>
    <t>Beta</t>
  </si>
  <si>
    <t>Equity risk premium (%)</t>
  </si>
  <si>
    <t>Cost of equity (%)</t>
  </si>
  <si>
    <t>After-tax cost of debt (%)</t>
  </si>
  <si>
    <t>Terminal growth (%)</t>
  </si>
  <si>
    <t>REFERENCE ONLY: the primary method does not discount. Risk-free source: CONFIGURED FALLBACK: a model policy constant, not a verified market observation (CONFIGURED_FALLBACK).</t>
  </si>
  <si>
    <t>MANAGEMENT GUIDANCE</t>
  </si>
  <si>
    <t>No verified guidance: FMB's guidance registry holds no sourced item for this company. Nothing is assumed or filled in.</t>
  </si>
  <si>
    <t>LIMITS AND SOURCE NOTES</t>
  </si>
  <si>
    <t>Statements: Consolidated annual figures; INR crore; fiscal year ending March. Period-length differences are normalised once and disclosed.</t>
  </si>
  <si>
    <t>Price: NSE official close of 2026-10-30.</t>
  </si>
  <si>
    <t>Peer statistics are computed from the same provider extractor for the subject and every peer; see the Peers sheet for the statistic definition.</t>
  </si>
  <si>
    <t>Withheld: Linked three-statement forecast -- the reported FY26 balance sheet does not balance as opened (assets 73465 vs liabilities + equity 47499 Cr); no forecast is built on it</t>
  </si>
  <si>
    <t>Withheld: DCF cross-check -- Not eligible by methodology: valuation methodology routes this archetype (REAL_ESTATE) to Sum of the parts and prohibits the consolidated FCFF DCF. It is not forced to populate a sheet, and no DCF reading is published.</t>
  </si>
  <si>
    <t>Withheld: Reverse DCF -- a reverse DCF inverts a consolidated FCFF DCF, which this archetype's methodology prohibits</t>
  </si>
  <si>
    <t>Withheld: Segment analysis -- no Ind AS 108 segment disclosure was read for this issuer and the provider published no split</t>
  </si>
  <si>
    <t>Withheld: Line-by-line statutory statements -- no audited statutory XBRL filing was served for this issuer; the statements are not laid out line by line</t>
  </si>
  <si>
    <t>Withheld: Audited-filing statements -- 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</si>
  <si>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DATA LEGEND</t>
  </si>
  <si>
    <t>REPORTED</t>
  </si>
  <si>
    <t>Read from an audited filing or a statutory disclosure, unchanged.</t>
  </si>
  <si>
    <t>DERIVED</t>
  </si>
  <si>
    <t>Computed from reported figures by a stated formula. Not itself reported.</t>
  </si>
  <si>
    <t>FORECAST</t>
  </si>
  <si>
    <t>The model's projection for a future period. No reported figure exists.</t>
  </si>
  <si>
    <t>USER INPUT</t>
  </si>
  <si>
    <t>An analyst override of the model’s assumption for this run.</t>
  </si>
  <si>
    <t>STALE</t>
  </si>
  <si>
    <t>A real observation that is no longer current. Not the same as unavailable.</t>
  </si>
  <si>
    <t>The evidence does not exist, or could not be obtained. Nothing is substituted.</t>
  </si>
  <si>
    <t>N/A</t>
  </si>
  <si>
    <t>The concept does not apply to this issuer or archetype. There is no number to miss.</t>
  </si>
  <si>
    <t>Quarterly statements (INR crore, as filed)</t>
  </si>
  <si>
    <t>Read from each quarter's own filed XBRL (the three-month column; the year-to-date column is never used as a quarter). Unaudited except the March quarter.</t>
  </si>
  <si>
    <t>UNAVAILABLE: NSE quarterly listing unreachable: RIGHTS_BLOCKED: NSE session-cookie API is paused by the owner pending legal review (nseSessionCookie); set ASTRA_ALLOW_NSE_SESSION_API=1 only after that review. No quarterly figure is estimated or interpolated.</t>
  </si>
  <si>
    <t>Common-size statements, ratios, DuPont and forensic screens</t>
  </si>
  <si>
    <t>Common-size lines are live formulas over the statement sheets (line / revenue, line / total assets). Ratios, DuPont and the scores are the engine's published figures.</t>
  </si>
  <si>
    <t>INCOME STATEMENT AS % OF REVENUE (reported and forecast)</t>
  </si>
  <si>
    <t>% of revenue</t>
  </si>
  <si>
    <t>Revenue</t>
  </si>
  <si>
    <t>Employee benefit expenses</t>
  </si>
  <si>
    <t>Other operating expenses</t>
  </si>
  <si>
    <t>Depreciation &amp; amortisation</t>
  </si>
  <si>
    <t>EBIT</t>
  </si>
  <si>
    <t>Other income</t>
  </si>
  <si>
    <t>Finance costs</t>
  </si>
  <si>
    <t>Tax</t>
  </si>
  <si>
    <t>BALANCE SHEET AS % OF TOTAL ASSETS</t>
  </si>
  <si>
    <t>% of total assets</t>
  </si>
  <si>
    <t>Cash</t>
  </si>
  <si>
    <t>Trade receivables</t>
  </si>
  <si>
    <t>Inventories</t>
  </si>
  <si>
    <t>Current assets</t>
  </si>
  <si>
    <t>PPE (net)</t>
  </si>
  <si>
    <t>Intangibles &amp; goodwill</t>
  </si>
  <si>
    <t>Non-current investments</t>
  </si>
  <si>
    <t>Total assets</t>
  </si>
  <si>
    <t>Trade payables</t>
  </si>
  <si>
    <t>Short-term borrowings</t>
  </si>
  <si>
    <t>Long-term debt</t>
  </si>
  <si>
    <t>Total liabilities</t>
  </si>
  <si>
    <t>Total equity</t>
  </si>
  <si>
    <t>RETURNS AND DUPONT (reported years; engine ratios)</t>
  </si>
  <si>
    <t>FY27EA</t>
  </si>
  <si>
    <t>FY28EA</t>
  </si>
  <si>
    <t>FY29EA</t>
  </si>
  <si>
    <t>FY30EA</t>
  </si>
  <si>
    <t>FY31EA</t>
  </si>
  <si>
    <t>Return on assets</t>
  </si>
  <si>
    <t>Return on capital employed</t>
  </si>
  <si>
    <t>Return on invested capital</t>
  </si>
  <si>
    <t>DuPont: net margin</t>
  </si>
  <si>
    <t>DuPont: asset turnover (x)</t>
  </si>
  <si>
    <t>DuPont: equity multiplier (x)</t>
  </si>
  <si>
    <t>ROE re-derived = margin x turnover x multiplier (live formula)</t>
  </si>
  <si>
    <t>FORENSIC SCREENS (engine output; a screen flags, it does not prove)</t>
  </si>
  <si>
    <t>Altman Z (variant )</t>
  </si>
  <si>
    <t>n/a.</t>
  </si>
  <si>
    <t>Piotroski F-score (of 9)</t>
  </si>
  <si>
    <t>Beneish M-score</t>
  </si>
  <si>
    <t>n/a (threshold n/a).</t>
  </si>
  <si>
    <t>Forensic audit complete: Overall Health: UNAVAILABLE | Altman Z: N/A (N/A) | Piotroski F: N/A/9 | Beneish M: N/A (N/A).</t>
  </si>
  <si>
    <t>ACCOUNTING QUALITY (assessment CAUTION)</t>
  </si>
  <si>
    <t>Check</t>
  </si>
  <si>
    <t>Value</t>
  </si>
  <si>
    <t>Flag</t>
  </si>
  <si>
    <t>Threshold</t>
  </si>
  <si>
    <t>Detail</t>
  </si>
  <si>
    <t>CASH_CONVERSION</t>
  </si>
  <si>
    <t>CLEAN</t>
  </si>
  <si>
    <t>RED &lt; 0.5, CAUTION &lt; 0.8</t>
  </si>
  <si>
    <t>Operating cash flow was 122% of reported PAT across FY23, FY24, FY25, FY26.</t>
  </si>
  <si>
    <t>ACCRUALS</t>
  </si>
  <si>
    <t>RED &gt; 0.1, CAUTION &gt; 0.05</t>
  </si>
  <si>
    <t>FY26: PAT exceeded operating cash flow by -2.7% of average total assets.</t>
  </si>
  <si>
    <t>RECEIVABLES_VS_SALES</t>
  </si>
  <si>
    <t>CAUTION when tradeReceivables CAGR exceeds revenue CAGR by &gt; 10pp</t>
  </si>
  <si>
    <t>tradeReceivables compounded 15.6% a year against revenue 12.9% (FY23 to FY26).</t>
  </si>
  <si>
    <t>INVENTORY_VS_SALES</t>
  </si>
  <si>
    <t>CAUTION when inventories CAGR exceeds revenue CAGR by &gt; 10pp</t>
  </si>
  <si>
    <t>inventories compounded 8.5% a year against revenue 12.9% (FY23 to FY26).</t>
  </si>
  <si>
    <t>NON_CORE_RELIANCE</t>
  </si>
  <si>
    <t>CAUTION</t>
  </si>
  <si>
    <t>CAUTION when other income &gt; 30% of PBT</t>
  </si>
  <si>
    <t>FY26: other income was 62.2% of profit before tax.</t>
  </si>
  <si>
    <t>RECURRING_EXCEPTIONALS</t>
  </si>
  <si>
    <t>UNMEASURED</t>
  </si>
  <si>
    <t>CAUTION when exceptional items recur in 2+ years</t>
  </si>
  <si>
    <t>Exceptional items are not served for two or more years.</t>
  </si>
  <si>
    <t>BENEISH</t>
  </si>
  <si>
    <t>RED when the M-score flags a likely manipulator</t>
  </si>
  <si>
    <t>Beneish M-score inputs were not served.</t>
  </si>
  <si>
    <t>Schedules: fixed assets, working capital, capital allocation, leverage, segments</t>
  </si>
  <si>
    <t>Live formulas over the statement sheets (reported and forecast on one axis). A year whose source lines are absent shows n/a.</t>
  </si>
  <si>
    <t>FIXED ASSETS, CAPEX AND DEPRECIATION (INR crore)</t>
  </si>
  <si>
    <t>Property, plant &amp; equipment (net)</t>
  </si>
  <si>
    <t>Capital expenditure (outflow shown positive)</t>
  </si>
  <si>
    <t>Capex / revenue</t>
  </si>
  <si>
    <t>Capex / depreciation (x)</t>
  </si>
  <si>
    <t>Depreciation / opening net PPE</t>
  </si>
  <si>
    <t>Maintenance capex (CAPEX_BELOW_DEPRECIATION)</t>
  </si>
  <si>
    <t>Growth capex (total less maintenance)</t>
  </si>
  <si>
    <t>Maintenance share ranged 0.0pp across 4 years (100.0% to 100.0%).</t>
  </si>
  <si>
    <t>WORKING CAPITAL (INR crore; days on a 365-day year)</t>
  </si>
  <si>
    <t>Trade working capital (receivables + inventories - payables)</t>
  </si>
  <si>
    <t>Receivable days (on revenue)</t>
  </si>
  <si>
    <t>Payable days (on total operating expenses)</t>
  </si>
  <si>
    <t>Inventory days (on total operating expenses)</t>
  </si>
  <si>
    <t>Inventory and payable days use total operating expenses as the cost base because the statements do not all carry cost of goods sold; they are comparable across years of this issuer, not to a peer using cost of sales.</t>
  </si>
  <si>
    <t>CAPITAL ALLOCATION AND LEVERAGE (INR crore)</t>
  </si>
  <si>
    <t>Cash from operations</t>
  </si>
  <si>
    <t>Free cash flow (CFO - capex)</t>
  </si>
  <si>
    <t>Dividends paid (outflow shown positive)</t>
  </si>
  <si>
    <t>Dividend payout (dividends / net income)</t>
  </si>
  <si>
    <t>Debt issued / (repaid)</t>
  </si>
  <si>
    <t>Share issuance / (repurchase)</t>
  </si>
  <si>
    <t>Gross borrowings (short-term + long-term)</t>
  </si>
  <si>
    <t>Cash and short-term investments</t>
  </si>
  <si>
    <t>Net debt (borrowings - cash and short-term investments; excludes leases and long-term investments)</t>
  </si>
  <si>
    <t>Net debt / EBITDA (x)</t>
  </si>
  <si>
    <t>Operating segments: no Ind AS 108 segment disclosure was read for this issuer and the provider published no split.</t>
  </si>
  <si>
    <t>SECTOR SCHEDULE (REAL_ESTATE)</t>
  </si>
  <si>
    <t>Sector template</t>
  </si>
  <si>
    <t>Generic Operating Business</t>
  </si>
  <si>
    <t>Primary revenue method</t>
  </si>
  <si>
    <t>historical_trend_fallback</t>
  </si>
  <si>
    <t>Key drivers</t>
  </si>
  <si>
    <t>revenueGrowth; ebitdaMargin; capexPercentOfRevenue; workingCapitalRatio</t>
  </si>
  <si>
    <t>Typical gross-margin range</t>
  </si>
  <si>
    <t>[0.25,0.5]</t>
  </si>
  <si>
    <t>Typical opex ratio range</t>
  </si>
  <si>
    <t>[0.1,0.25]</t>
  </si>
  <si>
    <t>Life-cycle stage</t>
  </si>
  <si>
    <t>MATURE_GROWTH</t>
  </si>
  <si>
    <t>Cyclicality</t>
  </si>
  <si>
    <t>{"status":"UNAVAILABLE","reason":"INSUFFICIENT_HISTORY","detail":"Cyclicality needs at least 5 usable periods to distinguish a cycle from a trend; 4 are availab</t>
  </si>
  <si>
    <t>Facts: raw as-filed lines, canonical resolution, source documents</t>
  </si>
  <si>
    <t>The lines the statements were built from, by XBRL concept and fiscal year (INR crore), the canonical value against every second source with the authority that decided it, and the filings (hash, URL, retrieval time).</t>
  </si>
  <si>
    <t>As-filed statements: UNAVAILABLE no audited statutory XBRL filing was served for this issuer; the statements are not laid out line by line</t>
  </si>
  <si>
    <t>CANONICAL VS SECOND SOURCE (canonical provider SCREENER_INDIA; NOT a primary filing; policy 2026-09-30.1)</t>
  </si>
  <si>
    <t>Rows 80: 37 agree, 20 conflict, 0 second source unavailable, 23 not comparable. The canonical value is never averaged with a second source.</t>
  </si>
  <si>
    <t>Field</t>
  </si>
  <si>
    <t>Fiscal year</t>
  </si>
  <si>
    <t>Canonical provider</t>
  </si>
  <si>
    <t>Canonical value</t>
  </si>
  <si>
    <t>Second provider</t>
  </si>
  <si>
    <t>Second value</t>
  </si>
  <si>
    <t>Agreement</t>
  </si>
  <si>
    <t>Relative difference</t>
  </si>
  <si>
    <t>Final value / provider</t>
  </si>
  <si>
    <t>FY23</t>
  </si>
  <si>
    <t>SCREENER_INDIA</t>
  </si>
  <si>
    <t>YAHOO_INDIA</t>
  </si>
  <si>
    <t>AGREE</t>
  </si>
  <si>
    <t>5695 (SCREENER_INDIA)</t>
  </si>
  <si>
    <t>149 (SCREENER_INDIA)</t>
  </si>
  <si>
    <t>CONFLICT</t>
  </si>
  <si>
    <t>392 (SCREENER_INDIA)</t>
  </si>
  <si>
    <t>1502 (SCREENER_INDIA)</t>
  </si>
  <si>
    <t>Tax expense</t>
  </si>
  <si>
    <t>405.54 (SCREENER_INDIA)</t>
  </si>
  <si>
    <t>Profit for the period (total, incl. NCI)</t>
  </si>
  <si>
    <t>2034 (SCREENER_INDIA)</t>
  </si>
  <si>
    <t>Profit attributable to owners</t>
  </si>
  <si>
    <t>NOT_COMPARABLE</t>
  </si>
  <si>
    <t>null (null)</t>
  </si>
  <si>
    <t>Diluted EPS (as filed, unrestated)</t>
  </si>
  <si>
    <t>52572 (SCREENER_INDIA)</t>
  </si>
  <si>
    <t>Total equity (incl. NCI)</t>
  </si>
  <si>
    <t>Equity attributable to owners</t>
  </si>
  <si>
    <t>37687 (SCREENER_INDIA)</t>
  </si>
  <si>
    <t>Equity share capital (paid-up value)</t>
  </si>
  <si>
    <t>495 (SCREENER_INDIA)</t>
  </si>
  <si>
    <t>Borrowings (non-current)</t>
  </si>
  <si>
    <t>Borrowings (current)</t>
  </si>
  <si>
    <t>Cash and cash equivalents</t>
  </si>
  <si>
    <t>2275 (SCREENER_INDIA)</t>
  </si>
  <si>
    <t>Cash flow from operations</t>
  </si>
  <si>
    <t>2375 (SCREENER_INDIA)</t>
  </si>
  <si>
    <t>Cash flow from investing</t>
  </si>
  <si>
    <t>-461 (SCREENER_INDIA)</t>
  </si>
  <si>
    <t>Cash flow from financing</t>
  </si>
  <si>
    <t>-2013 (SCREENER_INDIA)</t>
  </si>
  <si>
    <t>Capital expenditure (magnitude)</t>
  </si>
  <si>
    <t>-64 (SCREENER_INDIA)</t>
  </si>
  <si>
    <t>Share count</t>
  </si>
  <si>
    <t>FY24</t>
  </si>
  <si>
    <t>6427 (SCREENER_INDIA)</t>
  </si>
  <si>
    <t>148 (SCREENER_INDIA)</t>
  </si>
  <si>
    <t>356 (SCREENER_INDIA)</t>
  </si>
  <si>
    <t>2151 (SCREENER_INDIA)</t>
  </si>
  <si>
    <t>516.24 (SCREENER_INDIA)</t>
  </si>
  <si>
    <t>2724 (SCREENER_INDIA)</t>
  </si>
  <si>
    <t>59069 (SCREENER_INDIA)</t>
  </si>
  <si>
    <t>39431 (SCREENER_INDIA)</t>
  </si>
  <si>
    <t>4384 (SCREENER_INDIA)</t>
  </si>
  <si>
    <t>2539 (SCREENER_INDIA)</t>
  </si>
  <si>
    <t>-1529 (SCREENER_INDIA)</t>
  </si>
  <si>
    <t>177 (SCREENER_INDIA)</t>
  </si>
  <si>
    <t>-116 (SCREENER_INDIA)</t>
  </si>
  <si>
    <t>FY25</t>
  </si>
  <si>
    <t>7994 (SCREENER_INDIA)</t>
  </si>
  <si>
    <t>151 (SCREENER_INDIA)</t>
  </si>
  <si>
    <t>397 (SCREENER_INDIA)</t>
  </si>
  <si>
    <t>2261 (SCREENER_INDIA)</t>
  </si>
  <si>
    <t>-429.59 (SCREENER_INDIA)</t>
  </si>
  <si>
    <t>4367 (SCREENER_INDIA)</t>
  </si>
  <si>
    <t>68472 (SCREENER_INDIA)</t>
  </si>
  <si>
    <t>42550 (SCREENER_INDIA)</t>
  </si>
  <si>
    <t>4338 (SCREENER_INDIA)</t>
  </si>
  <si>
    <t>5235 (SCREENER_INDIA)</t>
  </si>
  <si>
    <t>-3475 (SCREENER_INDIA)</t>
  </si>
  <si>
    <t>-2403 (SCREENER_INDIA)</t>
  </si>
  <si>
    <t>-96 (SCREENER_INDIA)</t>
  </si>
  <si>
    <t>FY26</t>
  </si>
  <si>
    <t>8194 (SCREENER_INDIA)</t>
  </si>
  <si>
    <t>142 (SCREENER_INDIA)</t>
  </si>
  <si>
    <t>199 (SCREENER_INDIA)</t>
  </si>
  <si>
    <t>2932 (SCREENER_INDIA)</t>
  </si>
  <si>
    <t>322.52 (SCREENER_INDIA)</t>
  </si>
  <si>
    <t>4415 (SCREENER_INDIA)</t>
  </si>
  <si>
    <t>73465 (SCREENER_INDIA)</t>
  </si>
  <si>
    <t>45473 (SCREENER_INDIA)</t>
  </si>
  <si>
    <t>7746 (SCREENER_INDIA)</t>
  </si>
  <si>
    <t>6347 (SCREENER_INDIA)</t>
  </si>
  <si>
    <t>721 (SCREENER_INDIA)</t>
  </si>
  <si>
    <t>-5547 (SCREENER_INDIA)</t>
  </si>
  <si>
    <t>-129 (SCREENER_INDIA)</t>
  </si>
  <si>
    <t>247.5 (SCREENER_INDIA)</t>
  </si>
  <si>
    <t>Second source YAHOO_INDIA: USED -- Yahoo Finance fundamentals-timeseries (secondary aggregator)</t>
  </si>
  <si>
    <t>SOURCE DOCUMENTS</t>
  </si>
  <si>
    <t>Period</t>
  </si>
  <si>
    <t>Perimeter</t>
  </si>
  <si>
    <t>Provider</t>
  </si>
  <si>
    <t>Document</t>
  </si>
  <si>
    <t>URL</t>
  </si>
  <si>
    <t>sha256 of the stored bytes</t>
  </si>
  <si>
    <t>Retrieved</t>
  </si>
  <si>
    <t>Change log</t>
  </si>
  <si>
    <t>What changed, and against what. Vintages are saved snapshots of this issuer (each immutable, each with its hash); a change in fair value between two of them is the engine's, not this sheet's.</t>
  </si>
  <si>
    <t>SAVED SNAPSHOT VINTAGES OF THIS ISSUER (newest first; this workbook is marked)</t>
  </si>
  <si>
    <t>Snapshot</t>
  </si>
  <si>
    <t>Price (INR)</t>
  </si>
  <si>
    <t>Change vs this workbook (INR)</t>
  </si>
  <si>
    <t>Change (%)</t>
  </si>
  <si>
    <t>Assumptions hash (12)</t>
  </si>
  <si>
    <t>snap_DLF_NS_b844a0b66419  &lt;- THIS WORKBOOK</t>
  </si>
  <si>
    <t>74234e98afe7</t>
  </si>
  <si>
    <t>snap_DLF_NS_fe75977cdfb5</t>
  </si>
  <si>
    <t>2026-11-01T15:04:41.361Z</t>
  </si>
  <si>
    <t>OVERRIDES APPLIED TO THIS WORKBOOK</t>
  </si>
  <si>
    <t>None: this is the base case (every driver is history-derived or a disclosed model policy).</t>
  </si>
  <si>
    <t>RESTATEMENTS, PERIOD BREAKS AND SOURCE CONFLICTS IN THE DATA</t>
  </si>
  <si>
    <t>Diagnostic WARNING</t>
  </si>
  <si>
    <t>WARN_LEGACY_COMPATIBILITY_WITHHELD</t>
  </si>
  <si>
    <t>The legacy compatibility forecast, multi-stage DCF, scenarios and sensitivities are withheld: ERROR_INPUT_UNAVAILABLE: the FY26 statements do not serve otherCurrentAssets, intangibleAssetsAndGoodwill, otherNonCurrentAssets, shortTermBorrowings, otherCurrentLiabilities, longTermDebt, leaseLiabilities, deferredTaxLiabilities, otherNonCurrentLiabilities, otherEquity, minorityInterest; the integrated forecast rolls every one of them forward. Refusing to open them at 0.</t>
  </si>
  <si>
    <t>WARN_HIST_IS_PAT_BRIDGE</t>
  </si>
  <si>
    <t>HIST_IS_PAT_BRIDGE: FY23: PBT 1,502 - tax 406 = 1,097, net income reported 2,034, 938 above it (unexplained: discontinued operations / minority / associates not itemised) | FY24: PBT 2,151 - tax 516 = 1,635, net income reported 2,724, 1,089 above it (unexplained: discontinued operations / minority / associates not itemised) | FY25: PBT 2,261 - tax -430 = 2,691, net income reported 4,367, 1,676 above it (unexplained: discontinued operations / minority / associates not itemised) | FY26: PBT 2,932 - tax 323 = 2,610, net income reported 4,415, 1,806 above it (unexplained: discontinued operations / minority / associates not itemised)</t>
  </si>
  <si>
    <t>WARN_HIST_CASH_ROLL</t>
  </si>
  <si>
    <t>HIST_CASH_ROLL: FY24: opening 2,275 + net change 1,187 = 3,462, closing reported 4,384 | FY25: opening 4,384 + net change -643 = 3,741, closing reported 4,338 | FY26: opening 4,338 + net change 1,521 = 5,859, closing reported 7,746</t>
  </si>
  <si>
    <t>20 provider conflict(s) between the canonical filing value and a second source are listed on the Facts sheet; the filing value stands.</t>
  </si>
  <si>
    <t>Source audit: provenance, accounting and recalculation checks, peer selection, limits</t>
  </si>
  <si>
    <t>Every figure carries its filing; every identity the model must satisfy is listed with its result; nothing that failed is dropped.</t>
  </si>
  <si>
    <t>PROVENANCE (8 sourced figures)</t>
  </si>
  <si>
    <t>Line item</t>
  </si>
  <si>
    <t>Type</t>
  </si>
  <si>
    <t>Source filing</t>
  </si>
  <si>
    <t>sha256 of the stored filing</t>
  </si>
  <si>
    <t>Basis note</t>
  </si>
  <si>
    <t>Revenue (FY23)</t>
  </si>
  <si>
    <t>Crores</t>
  </si>
  <si>
    <t>PROVIDER_REPORTED</t>
  </si>
  <si>
    <t>Provider Reported</t>
  </si>
  <si>
    <t>REVENUE_BASIS_NOT_ASSESSED: this is the aggregator's "Sales" line. It is not reconciled to the filed Revenue from operations and can be lower where the aggregator nets excise duty or cess. Compare with the audited filing before reading margins.</t>
  </si>
  <si>
    <t>Net Income / PAT (FY23)</t>
  </si>
  <si>
    <t>Revenue (FY24)</t>
  </si>
  <si>
    <t>Net Income / PAT (FY24)</t>
  </si>
  <si>
    <t>Revenue (FY25)</t>
  </si>
  <si>
    <t>Net Income / PAT (FY25)</t>
  </si>
  <si>
    <t>Revenue (FY26)</t>
  </si>
  <si>
    <t>Net Income / PAT (FY26)</t>
  </si>
  <si>
    <t>ACCOUNTING AND RECALCULATION CHECKS (3 run; 3 pass; 0 not a plain pass, all shown first)</t>
  </si>
  <si>
    <t>Scope</t>
  </si>
  <si>
    <t>Computed</t>
  </si>
  <si>
    <t>Reported</t>
  </si>
  <si>
    <t>Difference</t>
  </si>
  <si>
    <t>No DCF reading without a DCF</t>
  </si>
  <si>
    <t>VALUATION</t>
  </si>
  <si>
    <t>PASS</t>
  </si>
  <si>
    <t>no DCF ran and no reading is published</t>
  </si>
  <si>
    <t>No bonus / split is classified as economic dilution</t>
  </si>
  <si>
    <t>HISTORICAL</t>
  </si>
  <si>
    <t>no share-count events</t>
  </si>
  <si>
    <t>Canonical v1 accounting invariants</t>
  </si>
  <si>
    <t>Critical Integrity Checks</t>
  </si>
  <si>
    <t>All canonical v1 accounting invariants hold across every projected period.</t>
  </si>
  <si>
    <t>PEER SELECTION (status AVAILABLE)</t>
  </si>
  <si>
    <t>Peer set</t>
  </si>
  <si>
    <t>Selection rule</t>
  </si>
  <si>
    <t>Rationale</t>
  </si>
  <si>
    <t>Members</t>
  </si>
  <si>
    <t>Whole-company comparable set</t>
  </si>
  <si>
    <t>COMPANY</t>
  </si>
  <si>
    <t>analyst-defined REAL_ESTATE universe, subject excluded</t>
  </si>
  <si>
    <t>BRIGADE.NS, GODREJPROP.NS, LODHA.NS, OBEROIRLTY.NS, PRESTIGE.NS</t>
  </si>
  <si>
    <t>PUBLICATION STATE AND LIMITS</t>
  </si>
  <si>
    <t>Statement perimeter</t>
  </si>
  <si>
    <t>Consolidated</t>
  </si>
  <si>
    <t>Model package status</t>
  </si>
  <si>
    <t>EXECUTED_WITHHELD</t>
  </si>
  <si>
    <t>Peer intelligence</t>
  </si>
  <si>
    <t>AVAILABLE</t>
  </si>
  <si>
    <t>Withheld / not measured</t>
  </si>
  <si>
    <t>Linked three-statement forecast</t>
  </si>
  <si>
    <t>the reported FY26 balance sheet does not balance as opened (assets 73465 vs liabilities + equity 47499 Cr); no forecast is built on it</t>
  </si>
  <si>
    <t>DCF cross-check</t>
  </si>
  <si>
    <t>Not eligible by methodology: valuation methodology routes this archetype (REAL_ESTATE) to Sum of the parts and prohibits the consolidated FCFF DCF. It is not forced to populate a sheet, and no DCF reading is published.</t>
  </si>
  <si>
    <t>Reverse DCF</t>
  </si>
  <si>
    <t>a reverse DCF inverts a consolidated FCFF DCF, which this archetype's methodology prohibits</t>
  </si>
  <si>
    <t>Segment analysis</t>
  </si>
  <si>
    <t>no Ind AS 108 segment disclosure was read for this issuer and the provider published no split</t>
  </si>
  <si>
    <t>Line-by-line statutory statements</t>
  </si>
  <si>
    <t>no audited statutory XBRL filing was served for this issuer; the statements are not laid out line by line</t>
  </si>
  <si>
    <t>Audited-filing statements</t>
  </si>
  <si>
    <t>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</si>
  <si>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Confidence gate</t>
  </si>
  <si>
    <t>Reported statutory provenance coverage is low (0% of fields read from a filing; a further 100% are provider-reported statements, which are attributed but not statutory).</t>
  </si>
  <si>
    <t>ONE_OFF_UNMEASURED: FY26: PBT 2,932 - tax 323 = 2,610, reported profit 4,415; 1,806 Cr (61.6% of PBT) is not itemised by the data source (a share of associates / JVs, discontinued operations or exceptional items would each produce it; only the filing says which). This is a gap in the served data, not a finding of an accounting problem. No plug is inserted. Trailing P/E and EPS built on this profit are withheld; the EBIT-based FCFF does not read it.</t>
  </si>
  <si>
    <t>SAVED RECORD AND VERIFIER RECEIPTS</t>
  </si>
  <si>
    <t>This snapshot's saved record (provenance, publication states, discrepancies, peer selection, limits and every verifier receipt) is kept by FMB beside the exported files: GET /api/export/snapshot/snap_DLF_NS_b844a0b66419/record. Receipts are appended as verifiers run (workbook formula re-derivation, independent Monte Carlo), so they are read from the record, not stored in this file.</t>
  </si>
  <si>
    <t>Chart data (editable)</t>
  </si>
  <si>
    <t>The numbers behind the native charts on this sheet. Edit a cell and the chart redraws. Source is stated per block; nothing here is a forecast of its own.</t>
  </si>
  <si>
    <t>MONTE CARLO charts</t>
  </si>
  <si>
    <t>Not drawn: no Monte Carlo was published for this issuer. A distribution is not invented where the engine withheld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</si>
</sst>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Red]-#,##0.0"/>
    <numFmt numFmtId="165" formatCode="0.0%;[Red]-0.0%"/>
    <numFmt numFmtId="166" formatCode="0.0&quot;x&quot;"/>
    <numFmt numFmtId="167" formatCode="0.0"/>
    <numFmt numFmtId="168" formatCode="0.0000"/>
    <numFmt numFmtId="169" formatCode="0.000"/>
  </numFmts>
  <fonts count="6" x14ac:knownFonts="1">
    <font>
      <color theme="1"/>
      <family val="2"/>
      <scheme val="minor"/>
      <sz val="11"/>
      <name val="Calibri"/>
    </font>
    <font>
      <b/>
      <color rgb="FF0F172A"/>
      <sz val="16"/>
      <name val="Calibri"/>
    </font>
    <font>
      <i/>
      <color rgb="FF64748B"/>
      <sz val="10"/>
      <name val="Calibri"/>
    </font>
    <font>
      <b/>
      <color rgb="FF1E293B"/>
      <sz val="12"/>
      <name val="Calibri"/>
    </font>
    <font>
      <b/>
      <sz val="11"/>
      <name val="Calibri"/>
    </font>
    <font>
      <b/>
      <color rgb="FFFFFFFF"/>
      <sz val="11"/>
      <name val="Calibri"/>
    </font>
  </fonts>
  <fills count="6">
    <fill>
      <patternFill patternType="none"/>
    </fill>
    <fill>
      <patternFill patternType="gray125"/>
    </fill>
    <fill>
      <patternFill patternType="solid">
        <fgColor rgb="FFF1F5F9"/>
      </patternFill>
    </fill>
    <fill>
      <patternFill patternType="solid">
        <fgColor rgb="FF1E293B"/>
      </patternFill>
    </fill>
    <fill>
      <patternFill patternType="solid">
        <fgColor rgb="FFEFF6FF"/>
      </patternFill>
    </fill>
    <fill>
      <patternFill patternType="solid">
        <fgColor rgb="FFE2E8F0"/>
      </patternFill>
    </fill>
  </fills>
  <borders count="2">
    <border>
      <left/>
      <right/>
      <top/>
      <bottom/>
      <diagonal/>
    </border>
    <border>
      <left/>
      <right/>
      <top/>
      <bottom style="thin">
        <color rgb="FFE2E8F0"/>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4" fontId="4" fillId="0" borderId="0" xfId="0" applyNumberFormat="1" applyFont="1"/>
    <xf numFmtId="0" fontId="0" fillId="0" borderId="0" xfId="0"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164" fontId="4" fillId="0" borderId="0" xfId="0" applyNumberFormat="1" applyFont="1"/>
    <xf numFmtId="0" fontId="4" fillId="4" borderId="0" xfId="0" applyFont="1" applyFill="1"/>
    <xf numFmtId="165" fontId="0" fillId="0" borderId="0" xfId="0" applyNumberFormat="1"/>
    <xf numFmtId="0" fontId="0" fillId="4" borderId="0" xfId="0" applyFill="1"/>
    <xf numFmtId="4" fontId="0" fillId="0" borderId="0" xfId="0" applyNumberFormat="1"/>
    <xf numFmtId="166" fontId="0" fillId="0" borderId="0" xfId="0" applyNumberFormat="1"/>
    <xf numFmtId="166" fontId="4" fillId="0" borderId="0" xfId="0" applyNumberFormat="1" applyFont="1"/>
    <xf numFmtId="1" fontId="0" fillId="0" borderId="0" xfId="0" applyNumberFormat="1"/>
    <xf numFmtId="167" fontId="0" fillId="0" borderId="0" xfId="0" applyNumberFormat="1"/>
    <xf numFmtId="167" fontId="4" fillId="0" borderId="0" xfId="0" applyNumberFormat="1" applyFont="1"/>
    <xf numFmtId="164" fontId="4" fillId="0" borderId="1" xfId="0" applyNumberFormat="1" applyFont="1" applyBorder="1"/>
    <xf numFmtId="0" fontId="4" fillId="4" borderId="1" xfId="0" applyFont="1" applyFill="1" applyBorder="1"/>
    <xf numFmtId="0" fontId="0" fillId="0" borderId="1" xfId="0" applyBorder="1"/>
    <xf numFmtId="165" fontId="0" fillId="0" borderId="1" xfId="0" applyNumberFormat="1" applyBorder="1"/>
    <xf numFmtId="0" fontId="0" fillId="4" borderId="1" xfId="0" applyFill="1" applyBorder="1"/>
    <xf numFmtId="164" fontId="0" fillId="0" borderId="1" xfId="0" applyNumberFormat="1" applyBorder="1"/>
    <xf numFmtId="0" fontId="4" fillId="0" borderId="1" xfId="0" applyFont="1" applyBorder="1"/>
    <xf numFmtId="4" fontId="0" fillId="0" borderId="1" xfId="0" applyNumberFormat="1" applyBorder="1"/>
    <xf numFmtId="4" fontId="4" fillId="0" borderId="1" xfId="0" applyNumberFormat="1" applyFont="1" applyBorder="1"/>
    <xf numFmtId="168" fontId="0" fillId="0" borderId="0" xfId="0" applyNumberFormat="1"/>
    <xf numFmtId="0" fontId="4" fillId="5" borderId="0" xfId="0" applyFont="1" applyFill="1"/>
    <xf numFmtId="166" fontId="4" fillId="5" borderId="0" xfId="0" applyNumberFormat="1" applyFont="1" applyFill="1"/>
    <xf numFmtId="167" fontId="4" fillId="5" borderId="0" xfId="0" applyNumberFormat="1" applyFont="1" applyFill="1"/>
    <xf numFmtId="165" fontId="4" fillId="0" borderId="0" xfId="0" applyNumberFormat="1" applyFont="1"/>
    <xf numFmtId="2" fontId="0" fillId="0" borderId="0" xfId="0" applyNumberFormat="1"/>
    <xf numFmtId="169" fontId="0" fillId="0" borderId="0" xfId="0" applyNumberFormat="1"/>
    <xf numFmtId="164"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Revenue</a:t>
            </a:r>
          </a:p>
        </c:rich>
      </c:tx>
      <c:layout/>
    </c:title>
    <c:autoTitleDeleted val="0"/>
    <c:plotArea>
      <c:layout/>
      <c:barChart>
        <c:barDir val="col"/>
        <c:grouping val="clustered"/>
        <c:overlap val="-20"/>
        <c:gapWidth val="150"/>
        <c:ser>
          <c:idx val="0"/>
          <c:order val="0"/>
          <c:tx>
            <c:v>Revenue</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'Summary'!$C$15:$K$15</c:f>
              <c:numCache>
                <c:formatCode>#,##0</c:formatCode>
                <c:ptCount val="9"/>
                <c:pt idx="0">
                  <c:v>5695</c:v>
                </c:pt>
                <c:pt idx="1">
                  <c:v>6427</c:v>
                </c:pt>
                <c:pt idx="2">
                  <c:v>7994</c:v>
                </c:pt>
                <c:pt idx="3">
                  <c:v>8194</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EBITDA margin</a:t>
            </a:r>
          </a:p>
        </c:rich>
      </c:tx>
      <c:layout/>
    </c:title>
    <c:autoTitleDeleted val="0"/>
    <c:plotArea>
      <c:layout/>
      <c:lineChart>
        <c:grouping val="standard"/>
        <c:ser>
          <c:idx val="0"/>
          <c:order val="0"/>
          <c:tx>
            <c:v>EBITDA margin</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'Summary'!$C$17:$K$17</c:f>
              <c:numCache>
                <c:formatCode>0%</c:formatCode>
                <c:ptCount val="9"/>
                <c:pt idx="0">
                  <c:v>0.30307287093942054</c:v>
                </c:pt>
                <c:pt idx="1">
                  <c:v>0.3304807841916913</c:v>
                </c:pt>
                <c:pt idx="2">
                  <c:v>0.2638228671503628</c:v>
                </c:pt>
                <c:pt idx="3">
                  <c:v>0.1768367097876495</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Free cash flow (CFO - CapEx)</a:t>
            </a:r>
          </a:p>
        </c:rich>
      </c:tx>
      <c:layout/>
    </c:title>
    <c:autoTitleDeleted val="0"/>
    <c:plotArea>
      <c:layout/>
      <c:barChart>
        <c:barDir val="col"/>
        <c:grouping val="clustered"/>
        <c:overlap val="-20"/>
        <c:gapWidth val="150"/>
        <c:ser>
          <c:idx val="0"/>
          <c:order val="0"/>
          <c:tx>
            <c:v>FCF</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'Summary'!$C$20:$K$20</c:f>
              <c:numCache>
                <c:formatCode>#,##0</c:formatCode>
                <c:ptCount val="9"/>
                <c:pt idx="0">
                  <c:v>2311</c:v>
                </c:pt>
                <c:pt idx="1">
                  <c:v>2423</c:v>
                </c:pt>
                <c:pt idx="2">
                  <c:v>5139</c:v>
                </c:pt>
                <c:pt idx="3">
                  <c:v>6218</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drawings/_rels/drawing1.xml.rels><?xml version="1.0" encoding="UTF-8" standalone="yes"?>
<Relationships xmlns="http://schemas.openxmlformats.org/package/2006/relationships">
  <Relationship Id="rIdChart1" Type="http://schemas.openxmlformats.org/officeDocument/2006/relationships/chart" Target="../charts/chart1.xml"/>
  <Relationship Id="rIdChart2" Type="http://schemas.openxmlformats.org/officeDocument/2006/relationships/chart" Target="../charts/chart2.xml"/>
  <Relationship Id="rIdChart3" Type="http://schemas.openxmlformats.org/officeDocument/2006/relationships/chart" Target="../charts/chart3.xml"/>
</Relationships>
</file>

<file path=xl/drawings/_rels/drawing2.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5</xdr:col>
      <xdr:colOff>0</xdr:colOff>
      <xdr:row>56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1"/>
        </a:graphicData>
      </a:graphic>
    </xdr:graphicFrame>
    <xdr:clientData/>
  </xdr:twoCellAnchor>
  <xdr:twoCellAnchor>
    <xdr:from>
      <xdr:col>5</xdr:col>
      <xdr:colOff>0</xdr:colOff>
      <xdr:row>40</xdr:row>
      <xdr:rowOff>0</xdr:rowOff>
    </xdr:from>
    <xdr:to>
      <xdr:col>11</xdr:col>
      <xdr:colOff>0</xdr:colOff>
      <xdr:row>56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2"/>
        </a:graphicData>
      </a:graphic>
    </xdr:graphicFrame>
    <xdr:clientData/>
  </xdr:twoCellAnchor>
  <xdr:twoCellAnchor>
    <xdr:from>
      <xdr:col>0</xdr:col>
      <xdr:colOff>0</xdr:colOff>
      <xdr:row>57</xdr:row>
      <xdr:rowOff>0</xdr:rowOff>
    </xdr:from>
    <xdr:to>
      <xdr:col>5</xdr:col>
      <xdr:colOff>0</xdr:colOff>
      <xdr:row>73</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3"/>
        </a:graphicData>
      </a:graphic>
    </xdr:graphicFrame>
    <xdr:clientData/>
  </xdr:twoCellAnchor>
</xdr:wsDr>
</file>

<file path=xl/drawings/drawing2.xml><?xml version="1.0" encoding="utf-8"?>
<xdr:wsDr xmlns:xdr="http://schemas.openxmlformats.org/drawingml/2006/spreadsheetDrawing" xmlns:a="http://schemas.openxmlformats.org/drawingml/2006/main">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Drawing1" Type="http://schemas.openxmlformats.org/officeDocument/2006/relationships/drawing" Target="../drawings/drawing1.xml"/>
</Relationships>
</file>

<file path=xl/worksheets/_rels/sheet15.xml.rels><?xml version="1.0" encoding="UTF-8" standalone="yes"?>
<Relationships xmlns="http://schemas.openxmlformats.org/package/2006/relationships">  <Relationship Id="rIdDrawing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0" customWidth="1"/>
    <col min="3" max="11" width="13" customWidth="1"/>
  </cols>
  <sheetData>
    <row r="1" spans="1:1" x14ac:dyDescent="0.25">
      <c r="A1" s="1" t="s">
        <v>0</v>
      </c>
    </row>
    <row r="2" spans="1:1" x14ac:dyDescent="0.25">
      <c r="A2" s="2" t="s">
        <v>1</v>
      </c>
    </row>
    <row r="5" spans="1:8" x14ac:dyDescent="0.25">
      <c r="A5" s="3" t="s">
        <v>2</v>
      </c>
      <c r="B5" s="4"/>
      <c r="C5" s="4"/>
      <c r="D5" s="4"/>
      <c r="E5" s="4"/>
      <c r="F5" s="4"/>
      <c r="G5" s="4"/>
      <c r="H5" s="4"/>
    </row>
    <row r="6" spans="1:2" x14ac:dyDescent="0.25">
      <c r="A6" s="5" t="s">
        <v>3</v>
      </c>
      <c r="B6" s="6">
        <f>'Valuation'!B7</f>
        <v>691.55</v>
      </c>
    </row>
    <row r="7" spans="1:2" x14ac:dyDescent="0.25">
      <c r="A7" s="5" t="s">
        <v>4</v>
      </c>
      <c r="B7" s="5" t="s">
        <v>5</v>
      </c>
    </row>
    <row r="8" spans="1:2" x14ac:dyDescent="0.25">
      <c r="A8" s="5" t="s">
        <v>6</v>
      </c>
      <c r="B8" t="s">
        <v>7</v>
      </c>
    </row>
    <row r="9" spans="1:2" x14ac:dyDescent="0.25">
      <c r="A9" s="5" t="s">
        <v>8</v>
      </c>
      <c r="B9" t="s">
        <v>9</v>
      </c>
    </row>
    <row r="10" spans="1:2" x14ac:dyDescent="0.25">
      <c r="A10" s="5" t="s">
        <v>10</v>
      </c>
      <c r="B10" t="s">
        <v>11</v>
      </c>
    </row>
    <row r="11" ht="48" customHeight="1" spans="1:8" x14ac:dyDescent="0.25">
      <c r="A11" s="5" t="s">
        <v>12</v>
      </c>
      <c r="B11" s="7" t="s">
        <v>13</v>
      </c>
      <c r="C11" s="7"/>
      <c r="D11" s="7"/>
      <c r="E11" s="7"/>
      <c r="F11" s="7"/>
      <c r="G11" s="7"/>
      <c r="H11" s="7"/>
    </row>
    <row r="13" spans="1:11" x14ac:dyDescent="0.25">
      <c r="A13" s="3" t="s">
        <v>14</v>
      </c>
      <c r="B13" s="4"/>
      <c r="C13" s="4"/>
      <c r="D13" s="4"/>
      <c r="E13" s="4"/>
      <c r="F13" s="4"/>
      <c r="G13" s="4"/>
      <c r="H13" s="4"/>
      <c r="I13" s="4"/>
      <c r="J13" s="4"/>
      <c r="K13" s="4"/>
    </row>
    <row r="14" spans="1:11" x14ac:dyDescent="0.25">
      <c r="A14" s="8"/>
      <c r="B14" s="9" t="s">
        <v>15</v>
      </c>
      <c r="C14" s="9" t="s">
        <v>16</v>
      </c>
      <c r="D14" s="9" t="s">
        <v>17</v>
      </c>
      <c r="E14" s="9" t="s">
        <v>18</v>
      </c>
      <c r="F14" s="9" t="s">
        <v>19</v>
      </c>
      <c r="G14" s="9" t="s">
        <v>20</v>
      </c>
      <c r="H14" s="9" t="s">
        <v>21</v>
      </c>
      <c r="I14" s="9" t="s">
        <v>22</v>
      </c>
      <c r="J14" s="9" t="s">
        <v>23</v>
      </c>
      <c r="K14" s="9" t="s">
        <v>24</v>
      </c>
    </row>
    <row r="15" spans="1:11" x14ac:dyDescent="0.25">
      <c r="A15" s="5" t="s">
        <v>25</v>
      </c>
      <c r="B15" s="2" t="s">
        <v>26</v>
      </c>
      <c r="C15" s="10">
        <f>'Income Statement'!B5</f>
        <v>5695</v>
      </c>
      <c r="D15" s="10">
        <f>'Income Statement'!C5</f>
        <v>6427</v>
      </c>
      <c r="E15" s="10">
        <f>'Income Statement'!D5</f>
        <v>7994</v>
      </c>
      <c r="F15" s="10">
        <f>'Income Statement'!E5</f>
        <v>8194</v>
      </c>
      <c r="G15" s="11" t="s">
        <v>7</v>
      </c>
      <c r="H15" s="11" t="s">
        <v>7</v>
      </c>
      <c r="I15" s="11" t="s">
        <v>7</v>
      </c>
      <c r="J15" s="11" t="s">
        <v>7</v>
      </c>
      <c r="K15" s="11" t="s">
        <v>7</v>
      </c>
    </row>
    <row r="16" spans="1:11" x14ac:dyDescent="0.25">
      <c r="A16" s="5" t="s">
        <v>27</v>
      </c>
      <c r="B16" s="2" t="s">
        <v>26</v>
      </c>
      <c r="C16" s="10">
        <f>'Income Statement'!B10</f>
        <v>1726</v>
      </c>
      <c r="D16" s="10">
        <f>'Income Statement'!C10</f>
        <v>2124</v>
      </c>
      <c r="E16" s="10">
        <f>'Income Statement'!D10</f>
        <v>2109</v>
      </c>
      <c r="F16" s="10">
        <f>'Income Statement'!E10</f>
        <v>1449</v>
      </c>
      <c r="G16" s="11" t="s">
        <v>7</v>
      </c>
      <c r="H16" s="11" t="s">
        <v>7</v>
      </c>
      <c r="I16" s="11" t="s">
        <v>7</v>
      </c>
      <c r="J16" s="11" t="s">
        <v>7</v>
      </c>
      <c r="K16" s="11" t="s">
        <v>7</v>
      </c>
    </row>
    <row r="17" spans="1:11" x14ac:dyDescent="0.25">
      <c r="A17" t="s">
        <v>28</v>
      </c>
      <c r="B17" s="2" t="s">
        <v>26</v>
      </c>
      <c r="C17" s="12">
        <f>'Income Statement'!B11</f>
        <v>0.30307287093942054</v>
      </c>
      <c r="D17" s="12">
        <f>'Income Statement'!C11</f>
        <v>0.3304807841916913</v>
      </c>
      <c r="E17" s="12">
        <f>'Income Statement'!D11</f>
        <v>0.2638228671503628</v>
      </c>
      <c r="F17" s="12">
        <f>'Income Statement'!E11</f>
        <v>0.1768367097876495</v>
      </c>
      <c r="G17" s="13" t="s">
        <v>7</v>
      </c>
      <c r="H17" s="13" t="s">
        <v>7</v>
      </c>
      <c r="I17" s="13" t="s">
        <v>7</v>
      </c>
      <c r="J17" s="13" t="s">
        <v>7</v>
      </c>
      <c r="K17" s="13" t="s">
        <v>7</v>
      </c>
    </row>
    <row r="18" spans="1:11" x14ac:dyDescent="0.25">
      <c r="A18" s="5" t="s">
        <v>29</v>
      </c>
      <c r="B18" s="2" t="s">
        <v>26</v>
      </c>
      <c r="C18" s="10">
        <f>'Income Statement'!B20</f>
        <v>2034</v>
      </c>
      <c r="D18" s="10">
        <f>'Income Statement'!C20</f>
        <v>2724</v>
      </c>
      <c r="E18" s="10">
        <f>'Income Statement'!D20</f>
        <v>4367</v>
      </c>
      <c r="F18" s="10">
        <f>'Income Statement'!E20</f>
        <v>4415</v>
      </c>
      <c r="G18" s="11" t="s">
        <v>7</v>
      </c>
      <c r="H18" s="11" t="s">
        <v>7</v>
      </c>
      <c r="I18" s="11" t="s">
        <v>7</v>
      </c>
      <c r="J18" s="11" t="s">
        <v>7</v>
      </c>
      <c r="K18" s="11" t="s">
        <v>7</v>
      </c>
    </row>
    <row r="19" spans="1:11" x14ac:dyDescent="0.25">
      <c r="A19" t="s">
        <v>30</v>
      </c>
      <c r="B19" s="2" t="s">
        <v>26</v>
      </c>
      <c r="C19" s="14">
        <f>'Income Statement'!B25</f>
        <v>8.22</v>
      </c>
      <c r="D19" s="14">
        <f>'Income Statement'!C25</f>
        <v>11.01</v>
      </c>
      <c r="E19" s="14">
        <f>'Income Statement'!D25</f>
        <v>17.64</v>
      </c>
      <c r="F19" s="14">
        <f>'Income Statement'!E25</f>
        <v>17.84</v>
      </c>
      <c r="G19" s="13" t="s">
        <v>7</v>
      </c>
      <c r="H19" s="13" t="s">
        <v>7</v>
      </c>
      <c r="I19" s="13" t="s">
        <v>7</v>
      </c>
      <c r="J19" s="13" t="s">
        <v>7</v>
      </c>
      <c r="K19" s="13" t="s">
        <v>7</v>
      </c>
    </row>
    <row r="20" spans="1:11" x14ac:dyDescent="0.25">
      <c r="A20" s="5" t="s">
        <v>31</v>
      </c>
      <c r="B20" s="2" t="s">
        <v>32</v>
      </c>
      <c r="C20" s="10">
        <f>'Cash Flow'!B30</f>
        <v>2311</v>
      </c>
      <c r="D20" s="10">
        <f>'Cash Flow'!C30</f>
        <v>2423</v>
      </c>
      <c r="E20" s="10">
        <f>'Cash Flow'!D30</f>
        <v>5139</v>
      </c>
      <c r="F20" s="10">
        <f>'Cash Flow'!E30</f>
        <v>6218</v>
      </c>
      <c r="G20" s="11" t="s">
        <v>7</v>
      </c>
      <c r="H20" s="11" t="s">
        <v>7</v>
      </c>
      <c r="I20" s="11" t="s">
        <v>7</v>
      </c>
      <c r="J20" s="11" t="s">
        <v>7</v>
      </c>
      <c r="K20" s="11" t="s">
        <v>7</v>
      </c>
    </row>
    <row r="21" spans="1:11" x14ac:dyDescent="0.25">
      <c r="A21" t="s">
        <v>33</v>
      </c>
      <c r="B21" s="2" t="s">
        <v>34</v>
      </c>
      <c r="C21" s="12">
        <v>0.05397086528511158</v>
      </c>
      <c r="D21" s="12">
        <v>0.0706449856064732</v>
      </c>
      <c r="E21" s="12">
        <v>0.10653688049670046</v>
      </c>
      <c r="F21" s="12">
        <v>0.1003146904786249</v>
      </c>
      <c r="G21" s="13" t="s">
        <v>7</v>
      </c>
      <c r="H21" s="13" t="s">
        <v>7</v>
      </c>
      <c r="I21" s="13" t="s">
        <v>7</v>
      </c>
      <c r="J21" s="13" t="s">
        <v>7</v>
      </c>
      <c r="K21" s="13" t="s">
        <v>7</v>
      </c>
    </row>
    <row r="23" spans="1:8" x14ac:dyDescent="0.25">
      <c r="A23" s="3" t="s">
        <v>35</v>
      </c>
      <c r="B23" s="4"/>
      <c r="C23" s="4"/>
      <c r="D23" s="4"/>
      <c r="E23" s="4"/>
      <c r="F23" s="4"/>
      <c r="G23" s="4"/>
      <c r="H23" s="4"/>
    </row>
    <row r="24" spans="1:4" x14ac:dyDescent="0.25">
      <c r="A24" s="8" t="s">
        <v>36</v>
      </c>
      <c r="B24" s="9" t="s">
        <v>37</v>
      </c>
      <c r="C24" s="9" t="s">
        <v>38</v>
      </c>
      <c r="D24" s="9" t="s">
        <v>39</v>
      </c>
    </row>
    <row r="25" spans="1:4" x14ac:dyDescent="0.25">
      <c r="A25" t="s">
        <v>40</v>
      </c>
      <c r="B25" s="15">
        <v>38.77236693091733</v>
      </c>
      <c r="C25" s="16">
        <f>'Peers'!C14</f>
        <v>24.767779061647484</v>
      </c>
      <c r="D25" s="17">
        <v>4</v>
      </c>
    </row>
    <row r="26" spans="1:4" x14ac:dyDescent="0.25">
      <c r="A26" t="s">
        <v>41</v>
      </c>
      <c r="B26" t="s">
        <v>7</v>
      </c>
      <c r="C26" s="5" t="s">
        <v>7</v>
      </c>
      <c r="D26" s="17">
        <v>1</v>
      </c>
    </row>
    <row r="27" spans="1:4" x14ac:dyDescent="0.25">
      <c r="A27" t="s">
        <v>42</v>
      </c>
      <c r="B27" s="15">
        <v>3.7550178779037884</v>
      </c>
      <c r="C27" s="16">
        <f>'Peers'!G14</f>
        <v>3.1360398114195913</v>
      </c>
      <c r="D27" s="17">
        <v>5</v>
      </c>
    </row>
    <row r="28" spans="1:4" x14ac:dyDescent="0.25">
      <c r="A28" t="s">
        <v>43</v>
      </c>
      <c r="B28" s="18">
        <v>3.6324336955251777</v>
      </c>
      <c r="C28" s="19">
        <f>'Peers'!H14</f>
        <v>0.5431483433975527</v>
      </c>
      <c r="D28" s="17">
        <v>5</v>
      </c>
    </row>
    <row r="29" spans="1:4" x14ac:dyDescent="0.25">
      <c r="A29" t="s">
        <v>44</v>
      </c>
      <c r="B29" s="18">
        <v>9.684778555289885</v>
      </c>
      <c r="C29" s="19">
        <f>'Peers'!K14</f>
        <v>10.13277428371768</v>
      </c>
      <c r="D29" s="17">
        <v>5</v>
      </c>
    </row>
    <row r="31" spans="1:8" x14ac:dyDescent="0.25">
      <c r="A31" s="3" t="s">
        <v>45</v>
      </c>
      <c r="B31" s="4"/>
      <c r="C31" s="4"/>
      <c r="D31" s="4"/>
      <c r="E31" s="4"/>
      <c r="F31" s="4"/>
      <c r="G31" s="4"/>
      <c r="H31" s="4"/>
    </row>
    <row r="32" spans="1:1" x14ac:dyDescent="0.25">
      <c r="A32" t="s">
        <v>46</v>
      </c>
    </row>
    <row r="33" spans="1:1" x14ac:dyDescent="0.25">
      <c r="A33" t="s">
        <v>47</v>
      </c>
    </row>
    <row r="34" spans="1:1" x14ac:dyDescent="0.25">
      <c r="A34" t="s">
        <v>48</v>
      </c>
    </row>
    <row r="35" spans="1:1" x14ac:dyDescent="0.25">
      <c r="A35" t="s">
        <v>49</v>
      </c>
    </row>
    <row r="37" spans="1:1" x14ac:dyDescent="0.25">
      <c r="A37" s="2" t="s">
        <v>50</v>
      </c>
    </row>
    <row r="38" spans="1:1" x14ac:dyDescent="0.25">
      <c r="A38" s="2" t="s">
        <v>51</v>
      </c>
    </row>
    <row r="40" spans="1:4" x14ac:dyDescent="0.25">
      <c r="A40" s="3" t="s">
        <v>52</v>
      </c>
      <c r="B40" s="4"/>
      <c r="C40" s="4"/>
      <c r="D40" s="4"/>
    </row>
    <row r="41" spans="1:2" x14ac:dyDescent="0.25">
      <c r="A41" s="5" t="s">
        <v>53</v>
      </c>
      <c r="B41" t="s">
        <v>54</v>
      </c>
    </row>
    <row r="42" spans="1:2" x14ac:dyDescent="0.25">
      <c r="A42" s="5" t="s">
        <v>55</v>
      </c>
      <c r="B42" t="s">
        <v>56</v>
      </c>
    </row>
    <row r="43" spans="1:2" x14ac:dyDescent="0.25">
      <c r="A43" s="5" t="s">
        <v>57</v>
      </c>
      <c r="B43" t="s">
        <v>58</v>
      </c>
    </row>
    <row r="44" spans="1:2" x14ac:dyDescent="0.25">
      <c r="A44" s="5" t="s">
        <v>59</v>
      </c>
      <c r="B44" t="s">
        <v>60</v>
      </c>
    </row>
    <row r="45" spans="1:2" x14ac:dyDescent="0.25">
      <c r="A45" s="5" t="s">
        <v>61</v>
      </c>
      <c r="B45" t="s">
        <v>62</v>
      </c>
    </row>
    <row r="46" spans="1:2" x14ac:dyDescent="0.25">
      <c r="A46" s="5" t="s">
        <v>63</v>
      </c>
      <c r="B46" t="s">
        <v>64</v>
      </c>
    </row>
    <row r="47" spans="1:2" x14ac:dyDescent="0.25">
      <c r="A47" s="5" t="s">
        <v>65</v>
      </c>
      <c r="B47" t="s">
        <v>66</v>
      </c>
    </row>
    <row r="48" spans="1:2" x14ac:dyDescent="0.25">
      <c r="A48" s="5" t="s">
        <v>67</v>
      </c>
      <c r="B48" t="s">
        <v>68</v>
      </c>
    </row>
    <row r="49" spans="1:2" x14ac:dyDescent="0.25">
      <c r="A49" s="5" t="s">
        <v>69</v>
      </c>
      <c r="B49" t="s">
        <v>70</v>
      </c>
    </row>
    <row r="50" spans="1:2" x14ac:dyDescent="0.25">
      <c r="A50" s="5" t="s">
        <v>71</v>
      </c>
      <c r="B50" t="s">
        <v>72</v>
      </c>
    </row>
    <row r="51" spans="1:2" x14ac:dyDescent="0.25">
      <c r="A51" s="5" t="s">
        <v>73</v>
      </c>
      <c r="B51" t="s">
        <v>74</v>
      </c>
    </row>
    <row r="52" spans="1:2" x14ac:dyDescent="0.25">
      <c r="A52" s="5" t="s">
        <v>75</v>
      </c>
      <c r="B52" t="s">
        <v>76</v>
      </c>
    </row>
    <row r="53" spans="1:2" x14ac:dyDescent="0.25">
      <c r="A53" s="5" t="s">
        <v>8</v>
      </c>
      <c r="B53" t="s">
        <v>77</v>
      </c>
    </row>
    <row r="54" spans="1:2" x14ac:dyDescent="0.25">
      <c r="A54" s="5" t="s">
        <v>78</v>
      </c>
      <c r="B54" t="s">
        <v>60</v>
      </c>
    </row>
    <row r="55" spans="1:2" x14ac:dyDescent="0.25">
      <c r="A55" s="5" t="s">
        <v>79</v>
      </c>
      <c r="B55" t="s">
        <v>5</v>
      </c>
    </row>
    <row r="56" spans="1:2" x14ac:dyDescent="0.25">
      <c r="A56" s="5" t="s">
        <v>80</v>
      </c>
      <c r="B56" t="s">
        <v>7</v>
      </c>
    </row>
    <row r="57" spans="1:2" x14ac:dyDescent="0.25">
      <c r="A57" s="5" t="s">
        <v>81</v>
      </c>
      <c r="B57" t="s">
        <v>82</v>
      </c>
    </row>
    <row r="58" spans="1:2" x14ac:dyDescent="0.25">
      <c r="A58" s="5" t="s">
        <v>83</v>
      </c>
      <c r="B58" t="s">
        <v>84</v>
      </c>
    </row>
    <row r="59" spans="1:2" x14ac:dyDescent="0.25">
      <c r="A59" s="5" t="s">
        <v>85</v>
      </c>
      <c r="B59" t="s">
        <v>86</v>
      </c>
    </row>
  </sheetData>
  <mergeCells count="1">
    <mergeCell ref="B11:H11"/>
  </mergeCells>
  <pageMargins left="0.7" right="0.7" top="0.75" bottom="0.75" header="0.3" footer="0.3"/>
  <pageSetup orientation="portrait" horizontalDpi="4294967295" verticalDpi="4294967295" scale="100" fitToWidth="1" fitToHeight="1"/>
  <drawing r:id="rIdDrawing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87</v>
      </c>
    </row>
    <row r="2" spans="1:1" x14ac:dyDescent="0.25">
      <c r="A2" s="2" t="s">
        <v>88</v>
      </c>
    </row>
    <row r="3" spans="1:1" x14ac:dyDescent="0.25">
      <c r="A3" s="2" t="s">
        <v>89</v>
      </c>
    </row>
    <row r="4" spans="1:10" x14ac:dyDescent="0.25">
      <c r="A4" s="8"/>
      <c r="B4" s="9" t="s">
        <v>16</v>
      </c>
      <c r="C4" s="9" t="s">
        <v>17</v>
      </c>
      <c r="D4" s="9" t="s">
        <v>18</v>
      </c>
      <c r="E4" s="9" t="s">
        <v>19</v>
      </c>
      <c r="F4" s="9" t="s">
        <v>20</v>
      </c>
      <c r="G4" s="9" t="s">
        <v>21</v>
      </c>
      <c r="H4" s="9" t="s">
        <v>22</v>
      </c>
      <c r="I4" s="9" t="s">
        <v>23</v>
      </c>
      <c r="J4" s="9" t="s">
        <v>24</v>
      </c>
    </row>
    <row r="5" spans="1:10" x14ac:dyDescent="0.25">
      <c r="A5" s="5" t="s">
        <v>25</v>
      </c>
      <c r="B5" s="20">
        <v>5695</v>
      </c>
      <c r="C5" s="20">
        <v>6427</v>
      </c>
      <c r="D5" s="20">
        <v>7994</v>
      </c>
      <c r="E5" s="20">
        <v>8194</v>
      </c>
      <c r="F5" s="21" t="s">
        <v>7</v>
      </c>
      <c r="G5" s="21" t="s">
        <v>7</v>
      </c>
      <c r="H5" s="21" t="s">
        <v>7</v>
      </c>
      <c r="I5" s="21" t="s">
        <v>7</v>
      </c>
      <c r="J5" s="21" t="s">
        <v>7</v>
      </c>
    </row>
    <row r="6" spans="1:10" x14ac:dyDescent="0.25">
      <c r="A6" t="s">
        <v>90</v>
      </c>
      <c r="B6" s="22" t="s">
        <v>7</v>
      </c>
      <c r="C6" s="23">
        <f>C5/B5-1</f>
        <v>0.12853380158033367</v>
      </c>
      <c r="D6" s="23">
        <f>D5/C5-1</f>
        <v>0.24381515481562155</v>
      </c>
      <c r="E6" s="23">
        <f>E5/D5-1</f>
        <v>0.02501876407305481</v>
      </c>
      <c r="F6" s="24" t="s">
        <v>7</v>
      </c>
      <c r="G6" s="24" t="s">
        <v>7</v>
      </c>
      <c r="H6" s="24" t="s">
        <v>7</v>
      </c>
      <c r="I6" s="24" t="s">
        <v>7</v>
      </c>
      <c r="J6" s="24" t="s">
        <v>7</v>
      </c>
    </row>
    <row r="7" spans="1:10" x14ac:dyDescent="0.25">
      <c r="A7" t="s">
        <v>91</v>
      </c>
      <c r="B7" s="22" t="s">
        <v>7</v>
      </c>
      <c r="C7" s="22" t="s">
        <v>7</v>
      </c>
      <c r="D7" s="22" t="s">
        <v>7</v>
      </c>
      <c r="E7" s="22" t="s">
        <v>7</v>
      </c>
      <c r="F7" s="24" t="s">
        <v>7</v>
      </c>
      <c r="G7" s="24" t="s">
        <v>7</v>
      </c>
      <c r="H7" s="24" t="s">
        <v>7</v>
      </c>
      <c r="I7" s="24" t="s">
        <v>7</v>
      </c>
      <c r="J7" s="24" t="s">
        <v>7</v>
      </c>
    </row>
    <row r="8" spans="1:10" x14ac:dyDescent="0.25">
      <c r="A8" t="s">
        <v>92</v>
      </c>
      <c r="B8" s="22" t="s">
        <v>7</v>
      </c>
      <c r="C8" s="22" t="s">
        <v>7</v>
      </c>
      <c r="D8" s="22" t="s">
        <v>7</v>
      </c>
      <c r="E8" s="22" t="s">
        <v>7</v>
      </c>
      <c r="F8" s="24" t="s">
        <v>7</v>
      </c>
      <c r="G8" s="24" t="s">
        <v>7</v>
      </c>
      <c r="H8" s="24" t="s">
        <v>7</v>
      </c>
      <c r="I8" s="24" t="s">
        <v>7</v>
      </c>
      <c r="J8" s="24" t="s">
        <v>7</v>
      </c>
    </row>
    <row r="9" spans="1:10" x14ac:dyDescent="0.25">
      <c r="A9" t="s">
        <v>93</v>
      </c>
      <c r="B9" s="25">
        <v>3969</v>
      </c>
      <c r="C9" s="25">
        <v>4303</v>
      </c>
      <c r="D9" s="25">
        <v>5885</v>
      </c>
      <c r="E9" s="25">
        <v>6745</v>
      </c>
      <c r="F9" s="24" t="s">
        <v>7</v>
      </c>
      <c r="G9" s="24" t="s">
        <v>7</v>
      </c>
      <c r="H9" s="24" t="s">
        <v>7</v>
      </c>
      <c r="I9" s="24" t="s">
        <v>7</v>
      </c>
      <c r="J9" s="24" t="s">
        <v>7</v>
      </c>
    </row>
    <row r="10" spans="1:10" x14ac:dyDescent="0.25">
      <c r="A10" s="5" t="s">
        <v>94</v>
      </c>
      <c r="B10" s="20">
        <f>B5-B9</f>
        <v>1726</v>
      </c>
      <c r="C10" s="20">
        <f>C5-C9</f>
        <v>2124</v>
      </c>
      <c r="D10" s="20">
        <f>D5-D9</f>
        <v>2109</v>
      </c>
      <c r="E10" s="20">
        <f>E5-E9</f>
        <v>1449</v>
      </c>
      <c r="F10" s="21" t="s">
        <v>7</v>
      </c>
      <c r="G10" s="21" t="s">
        <v>7</v>
      </c>
      <c r="H10" s="21" t="s">
        <v>7</v>
      </c>
      <c r="I10" s="21" t="s">
        <v>7</v>
      </c>
      <c r="J10" s="21" t="s">
        <v>7</v>
      </c>
    </row>
    <row r="11" spans="1:10" x14ac:dyDescent="0.25">
      <c r="A11" t="s">
        <v>95</v>
      </c>
      <c r="B11" s="23">
        <f>B10/B5</f>
        <v>0.30307287093942054</v>
      </c>
      <c r="C11" s="23">
        <f>C10/C5</f>
        <v>0.3304807841916913</v>
      </c>
      <c r="D11" s="23">
        <f>D10/D5</f>
        <v>0.2638228671503628</v>
      </c>
      <c r="E11" s="23">
        <f>E10/E5</f>
        <v>0.1768367097876495</v>
      </c>
      <c r="F11" s="24" t="s">
        <v>7</v>
      </c>
      <c r="G11" s="24" t="s">
        <v>7</v>
      </c>
      <c r="H11" s="24" t="s">
        <v>7</v>
      </c>
      <c r="I11" s="24" t="s">
        <v>7</v>
      </c>
      <c r="J11" s="24" t="s">
        <v>7</v>
      </c>
    </row>
    <row r="12" spans="1:10" x14ac:dyDescent="0.25">
      <c r="A12" t="s">
        <v>96</v>
      </c>
      <c r="B12" s="25">
        <v>149</v>
      </c>
      <c r="C12" s="25">
        <v>148</v>
      </c>
      <c r="D12" s="25">
        <v>151</v>
      </c>
      <c r="E12" s="25">
        <v>142</v>
      </c>
      <c r="F12" s="24" t="s">
        <v>7</v>
      </c>
      <c r="G12" s="24" t="s">
        <v>7</v>
      </c>
      <c r="H12" s="24" t="s">
        <v>7</v>
      </c>
      <c r="I12" s="24" t="s">
        <v>7</v>
      </c>
      <c r="J12" s="24" t="s">
        <v>7</v>
      </c>
    </row>
    <row r="13" spans="1:10" x14ac:dyDescent="0.25">
      <c r="A13" s="5" t="s">
        <v>97</v>
      </c>
      <c r="B13" s="20">
        <f>B10-B12</f>
        <v>1577</v>
      </c>
      <c r="C13" s="20">
        <f>C10-C12</f>
        <v>1976</v>
      </c>
      <c r="D13" s="20">
        <f>D10-D12</f>
        <v>1958</v>
      </c>
      <c r="E13" s="20">
        <f>E10-E12</f>
        <v>1307</v>
      </c>
      <c r="F13" s="21" t="s">
        <v>7</v>
      </c>
      <c r="G13" s="21" t="s">
        <v>7</v>
      </c>
      <c r="H13" s="21" t="s">
        <v>7</v>
      </c>
      <c r="I13" s="21" t="s">
        <v>7</v>
      </c>
      <c r="J13" s="21" t="s">
        <v>7</v>
      </c>
    </row>
    <row r="14" spans="1:10" x14ac:dyDescent="0.25">
      <c r="A14" t="s">
        <v>98</v>
      </c>
      <c r="B14" s="23">
        <f>B13/B5</f>
        <v>0.27690956979806847</v>
      </c>
      <c r="C14" s="23">
        <f>C13/C5</f>
        <v>0.3074529329391629</v>
      </c>
      <c r="D14" s="23">
        <f>D13/D5</f>
        <v>0.24493370027520642</v>
      </c>
      <c r="E14" s="23">
        <f>E13/E5</f>
        <v>0.15950695630949474</v>
      </c>
      <c r="F14" s="24" t="s">
        <v>7</v>
      </c>
      <c r="G14" s="24" t="s">
        <v>7</v>
      </c>
      <c r="H14" s="24" t="s">
        <v>7</v>
      </c>
      <c r="I14" s="24" t="s">
        <v>7</v>
      </c>
      <c r="J14" s="24" t="s">
        <v>7</v>
      </c>
    </row>
    <row r="15" spans="1:10" x14ac:dyDescent="0.25">
      <c r="A15" t="s">
        <v>99</v>
      </c>
      <c r="B15" s="25">
        <v>317</v>
      </c>
      <c r="C15" s="25">
        <v>531</v>
      </c>
      <c r="D15" s="25">
        <v>700</v>
      </c>
      <c r="E15" s="25">
        <v>1825</v>
      </c>
      <c r="F15" s="24" t="s">
        <v>7</v>
      </c>
      <c r="G15" s="24" t="s">
        <v>7</v>
      </c>
      <c r="H15" s="24" t="s">
        <v>7</v>
      </c>
      <c r="I15" s="24" t="s">
        <v>7</v>
      </c>
      <c r="J15" s="24" t="s">
        <v>7</v>
      </c>
    </row>
    <row r="16" spans="1:10" x14ac:dyDescent="0.25">
      <c r="A16" t="s">
        <v>100</v>
      </c>
      <c r="B16" s="25">
        <v>392</v>
      </c>
      <c r="C16" s="25">
        <v>356</v>
      </c>
      <c r="D16" s="25">
        <v>397</v>
      </c>
      <c r="E16" s="25">
        <v>199</v>
      </c>
      <c r="F16" s="24" t="s">
        <v>7</v>
      </c>
      <c r="G16" s="24" t="s">
        <v>7</v>
      </c>
      <c r="H16" s="24" t="s">
        <v>7</v>
      </c>
      <c r="I16" s="24" t="s">
        <v>7</v>
      </c>
      <c r="J16" s="24" t="s">
        <v>7</v>
      </c>
    </row>
    <row r="17" spans="1:10" x14ac:dyDescent="0.25">
      <c r="A17" t="s">
        <v>101</v>
      </c>
      <c r="B17" s="22" t="s">
        <v>7</v>
      </c>
      <c r="C17" s="22" t="s">
        <v>7</v>
      </c>
      <c r="D17" s="22" t="s">
        <v>7</v>
      </c>
      <c r="E17" s="22" t="s">
        <v>7</v>
      </c>
      <c r="F17" s="24" t="s">
        <v>7</v>
      </c>
      <c r="G17" s="24" t="s">
        <v>7</v>
      </c>
      <c r="H17" s="24" t="s">
        <v>7</v>
      </c>
      <c r="I17" s="24" t="s">
        <v>7</v>
      </c>
      <c r="J17" s="24" t="s">
        <v>7</v>
      </c>
    </row>
    <row r="18" spans="1:10" x14ac:dyDescent="0.25">
      <c r="A18" s="5" t="s">
        <v>102</v>
      </c>
      <c r="B18" s="20">
        <f>B13+B15-B16+SUM(B17)</f>
        <v>1502</v>
      </c>
      <c r="C18" s="20">
        <f>C13+C15-C16+SUM(C17)</f>
        <v>2151</v>
      </c>
      <c r="D18" s="20">
        <f>D13+D15-D16+SUM(D17)</f>
        <v>2261</v>
      </c>
      <c r="E18" s="20">
        <v>2932</v>
      </c>
      <c r="F18" s="21" t="s">
        <v>7</v>
      </c>
      <c r="G18" s="21" t="s">
        <v>7</v>
      </c>
      <c r="H18" s="21" t="s">
        <v>7</v>
      </c>
      <c r="I18" s="21" t="s">
        <v>7</v>
      </c>
      <c r="J18" s="21" t="s">
        <v>7</v>
      </c>
    </row>
    <row r="19" spans="1:10" x14ac:dyDescent="0.25">
      <c r="A19" t="s">
        <v>103</v>
      </c>
      <c r="B19" s="25">
        <v>405.5</v>
      </c>
      <c r="C19" s="25">
        <v>516.2</v>
      </c>
      <c r="D19" s="25">
        <v>-429.6</v>
      </c>
      <c r="E19" s="25">
        <v>322.5</v>
      </c>
      <c r="F19" s="24" t="s">
        <v>7</v>
      </c>
      <c r="G19" s="24" t="s">
        <v>7</v>
      </c>
      <c r="H19" s="24" t="s">
        <v>7</v>
      </c>
      <c r="I19" s="24" t="s">
        <v>7</v>
      </c>
      <c r="J19" s="24" t="s">
        <v>7</v>
      </c>
    </row>
    <row r="20" spans="1:10" x14ac:dyDescent="0.25">
      <c r="A20" s="5" t="s">
        <v>104</v>
      </c>
      <c r="B20" s="20">
        <v>2034</v>
      </c>
      <c r="C20" s="20">
        <v>2724</v>
      </c>
      <c r="D20" s="20">
        <v>4367</v>
      </c>
      <c r="E20" s="20">
        <v>4415</v>
      </c>
      <c r="F20" s="21" t="s">
        <v>7</v>
      </c>
      <c r="G20" s="21" t="s">
        <v>7</v>
      </c>
      <c r="H20" s="21" t="s">
        <v>7</v>
      </c>
      <c r="I20" s="21" t="s">
        <v>7</v>
      </c>
      <c r="J20" s="21" t="s">
        <v>7</v>
      </c>
    </row>
    <row r="21" spans="1:10" x14ac:dyDescent="0.25">
      <c r="A21" t="s">
        <v>105</v>
      </c>
      <c r="B21" s="23">
        <f>B20/B5</f>
        <v>0.3571553994732221</v>
      </c>
      <c r="C21" s="23">
        <f>C20/C5</f>
        <v>0.4238369379181578</v>
      </c>
      <c r="D21" s="23">
        <f>D20/D5</f>
        <v>0.5462847135351514</v>
      </c>
      <c r="E21" s="23">
        <f>E20/E5</f>
        <v>0.5388088845496705</v>
      </c>
      <c r="F21" s="24" t="s">
        <v>7</v>
      </c>
      <c r="G21" s="24" t="s">
        <v>7</v>
      </c>
      <c r="H21" s="24" t="s">
        <v>7</v>
      </c>
      <c r="I21" s="24" t="s">
        <v>7</v>
      </c>
      <c r="J21" s="24" t="s">
        <v>7</v>
      </c>
    </row>
    <row r="22" spans="1:10" x14ac:dyDescent="0.25">
      <c r="A22" t="s">
        <v>106</v>
      </c>
      <c r="B22" s="22" t="s">
        <v>7</v>
      </c>
      <c r="C22" s="22" t="s">
        <v>7</v>
      </c>
      <c r="D22" s="22" t="s">
        <v>7</v>
      </c>
      <c r="E22" s="22" t="s">
        <v>7</v>
      </c>
      <c r="F22" s="24" t="s">
        <v>7</v>
      </c>
      <c r="G22" s="24" t="s">
        <v>7</v>
      </c>
      <c r="H22" s="24" t="s">
        <v>7</v>
      </c>
      <c r="I22" s="24" t="s">
        <v>7</v>
      </c>
      <c r="J22" s="24" t="s">
        <v>7</v>
      </c>
    </row>
    <row r="23" spans="1:10" x14ac:dyDescent="0.25">
      <c r="A23" s="5" t="s">
        <v>107</v>
      </c>
      <c r="B23" s="26" t="s">
        <v>7</v>
      </c>
      <c r="C23" s="26" t="s">
        <v>7</v>
      </c>
      <c r="D23" s="26" t="s">
        <v>7</v>
      </c>
      <c r="E23" s="26" t="s">
        <v>7</v>
      </c>
      <c r="F23" s="21" t="s">
        <v>7</v>
      </c>
      <c r="G23" s="21" t="s">
        <v>7</v>
      </c>
      <c r="H23" s="21" t="s">
        <v>7</v>
      </c>
      <c r="I23" s="21" t="s">
        <v>7</v>
      </c>
      <c r="J23" s="21" t="s">
        <v>7</v>
      </c>
    </row>
    <row r="24" spans="1:10" x14ac:dyDescent="0.25">
      <c r="A24" t="s">
        <v>108</v>
      </c>
      <c r="B24" s="27">
        <v>247.5</v>
      </c>
      <c r="C24" s="27">
        <v>247.5</v>
      </c>
      <c r="D24" s="27">
        <v>247.5</v>
      </c>
      <c r="E24" s="27">
        <v>247.5</v>
      </c>
      <c r="F24" s="24" t="s">
        <v>7</v>
      </c>
      <c r="G24" s="24" t="s">
        <v>7</v>
      </c>
      <c r="H24" s="24" t="s">
        <v>7</v>
      </c>
      <c r="I24" s="24" t="s">
        <v>7</v>
      </c>
      <c r="J24" s="24" t="s">
        <v>7</v>
      </c>
    </row>
    <row r="25" spans="1:10" x14ac:dyDescent="0.25">
      <c r="A25" s="5" t="s">
        <v>30</v>
      </c>
      <c r="B25" s="28">
        <v>8.22</v>
      </c>
      <c r="C25" s="28">
        <v>11.01</v>
      </c>
      <c r="D25" s="28">
        <v>17.64</v>
      </c>
      <c r="E25" s="28">
        <v>17.84</v>
      </c>
      <c r="F25" s="21" t="s">
        <v>7</v>
      </c>
      <c r="G25" s="21" t="s">
        <v>7</v>
      </c>
      <c r="H25" s="21" t="s">
        <v>7</v>
      </c>
      <c r="I25" s="21" t="s">
        <v>7</v>
      </c>
      <c r="J25" s="21" t="s">
        <v>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109</v>
      </c>
    </row>
    <row r="2" spans="1:1" x14ac:dyDescent="0.25">
      <c r="A2" s="2" t="s">
        <v>88</v>
      </c>
    </row>
    <row r="3" spans="1:1" x14ac:dyDescent="0.25">
      <c r="A3" s="2" t="s">
        <v>89</v>
      </c>
    </row>
    <row r="4" spans="1:10" x14ac:dyDescent="0.25">
      <c r="A4" s="8"/>
      <c r="B4" s="9" t="s">
        <v>16</v>
      </c>
      <c r="C4" s="9" t="s">
        <v>17</v>
      </c>
      <c r="D4" s="9" t="s">
        <v>18</v>
      </c>
      <c r="E4" s="9" t="s">
        <v>19</v>
      </c>
      <c r="F4" s="9" t="s">
        <v>20</v>
      </c>
      <c r="G4" s="9" t="s">
        <v>21</v>
      </c>
      <c r="H4" s="9" t="s">
        <v>22</v>
      </c>
      <c r="I4" s="9" t="s">
        <v>23</v>
      </c>
      <c r="J4" s="9" t="s">
        <v>24</v>
      </c>
    </row>
    <row r="5" spans="1:10" x14ac:dyDescent="0.25">
      <c r="A5" s="3" t="s">
        <v>110</v>
      </c>
      <c r="B5" s="4"/>
      <c r="C5" s="4"/>
      <c r="D5" s="4"/>
      <c r="E5" s="4"/>
      <c r="F5" s="4"/>
      <c r="G5" s="4"/>
      <c r="H5" s="4"/>
      <c r="I5" s="4"/>
      <c r="J5" s="4"/>
    </row>
    <row r="6" spans="1:10" x14ac:dyDescent="0.25">
      <c r="A6" t="s">
        <v>111</v>
      </c>
      <c r="B6" s="25">
        <v>2275</v>
      </c>
      <c r="C6" s="25">
        <v>4384</v>
      </c>
      <c r="D6" s="25">
        <v>4338</v>
      </c>
      <c r="E6" s="25">
        <v>7746</v>
      </c>
      <c r="F6" s="24" t="s">
        <v>7</v>
      </c>
      <c r="G6" s="24" t="s">
        <v>7</v>
      </c>
      <c r="H6" s="24" t="s">
        <v>7</v>
      </c>
      <c r="I6" s="24" t="s">
        <v>7</v>
      </c>
      <c r="J6" s="24" t="s">
        <v>7</v>
      </c>
    </row>
    <row r="7" spans="1:10" x14ac:dyDescent="0.25">
      <c r="A7" t="s">
        <v>112</v>
      </c>
      <c r="B7" s="22" t="s">
        <v>7</v>
      </c>
      <c r="C7" s="22" t="s">
        <v>7</v>
      </c>
      <c r="D7" s="22" t="s">
        <v>7</v>
      </c>
      <c r="E7" s="22" t="s">
        <v>7</v>
      </c>
      <c r="F7" s="24" t="s">
        <v>7</v>
      </c>
      <c r="G7" s="24" t="s">
        <v>7</v>
      </c>
      <c r="H7" s="24" t="s">
        <v>7</v>
      </c>
      <c r="I7" s="24" t="s">
        <v>7</v>
      </c>
      <c r="J7" s="24" t="s">
        <v>7</v>
      </c>
    </row>
    <row r="8" spans="1:10" x14ac:dyDescent="0.25">
      <c r="A8" t="s">
        <v>113</v>
      </c>
      <c r="B8" s="25">
        <v>549</v>
      </c>
      <c r="C8" s="25">
        <v>538</v>
      </c>
      <c r="D8" s="25">
        <v>802</v>
      </c>
      <c r="E8" s="25">
        <v>847</v>
      </c>
      <c r="F8" s="24" t="s">
        <v>7</v>
      </c>
      <c r="G8" s="24" t="s">
        <v>7</v>
      </c>
      <c r="H8" s="24" t="s">
        <v>7</v>
      </c>
      <c r="I8" s="24" t="s">
        <v>7</v>
      </c>
      <c r="J8" s="24" t="s">
        <v>7</v>
      </c>
    </row>
    <row r="9" spans="1:10" x14ac:dyDescent="0.25">
      <c r="A9" t="s">
        <v>114</v>
      </c>
      <c r="B9" s="25">
        <v>19361</v>
      </c>
      <c r="C9" s="25">
        <v>21154</v>
      </c>
      <c r="D9" s="25">
        <v>24621</v>
      </c>
      <c r="E9" s="25">
        <v>24717</v>
      </c>
      <c r="F9" s="24" t="s">
        <v>7</v>
      </c>
      <c r="G9" s="24" t="s">
        <v>7</v>
      </c>
      <c r="H9" s="24" t="s">
        <v>7</v>
      </c>
      <c r="I9" s="24" t="s">
        <v>7</v>
      </c>
      <c r="J9" s="24" t="s">
        <v>7</v>
      </c>
    </row>
    <row r="10" spans="1:10" x14ac:dyDescent="0.25">
      <c r="A10" t="s">
        <v>115</v>
      </c>
      <c r="B10" s="22" t="s">
        <v>7</v>
      </c>
      <c r="C10" s="22" t="s">
        <v>7</v>
      </c>
      <c r="D10" s="22" t="s">
        <v>7</v>
      </c>
      <c r="E10" s="22" t="s">
        <v>7</v>
      </c>
      <c r="F10" s="24" t="s">
        <v>7</v>
      </c>
      <c r="G10" s="24" t="s">
        <v>7</v>
      </c>
      <c r="H10" s="24" t="s">
        <v>7</v>
      </c>
      <c r="I10" s="24" t="s">
        <v>7</v>
      </c>
      <c r="J10" s="24" t="s">
        <v>7</v>
      </c>
    </row>
    <row r="11" spans="1:10" x14ac:dyDescent="0.25">
      <c r="A11" s="5" t="s">
        <v>116</v>
      </c>
      <c r="B11" s="26" t="s">
        <v>7</v>
      </c>
      <c r="C11" s="26" t="s">
        <v>7</v>
      </c>
      <c r="D11" s="26" t="s">
        <v>7</v>
      </c>
      <c r="E11" s="26" t="s">
        <v>7</v>
      </c>
      <c r="F11" s="21" t="s">
        <v>7</v>
      </c>
      <c r="G11" s="21" t="s">
        <v>7</v>
      </c>
      <c r="H11" s="21" t="s">
        <v>7</v>
      </c>
      <c r="I11" s="21" t="s">
        <v>7</v>
      </c>
      <c r="J11" s="21" t="s">
        <v>7</v>
      </c>
    </row>
    <row r="12" spans="1:10" x14ac:dyDescent="0.25">
      <c r="A12" s="3" t="s">
        <v>117</v>
      </c>
      <c r="B12" s="4"/>
      <c r="C12" s="4"/>
      <c r="D12" s="4"/>
      <c r="E12" s="4"/>
      <c r="F12" s="4"/>
      <c r="G12" s="4"/>
      <c r="H12" s="4"/>
      <c r="I12" s="4"/>
      <c r="J12" s="4"/>
    </row>
    <row r="13" spans="1:10" x14ac:dyDescent="0.25">
      <c r="A13" t="s">
        <v>118</v>
      </c>
      <c r="B13" s="25">
        <v>4785</v>
      </c>
      <c r="C13" s="25">
        <v>3880</v>
      </c>
      <c r="D13" s="25">
        <v>3502</v>
      </c>
      <c r="E13" s="25">
        <v>4114</v>
      </c>
      <c r="F13" s="24" t="s">
        <v>7</v>
      </c>
      <c r="G13" s="24" t="s">
        <v>7</v>
      </c>
      <c r="H13" s="24" t="s">
        <v>7</v>
      </c>
      <c r="I13" s="24" t="s">
        <v>7</v>
      </c>
      <c r="J13" s="24" t="s">
        <v>7</v>
      </c>
    </row>
    <row r="14" spans="1:10" x14ac:dyDescent="0.25">
      <c r="A14" t="s">
        <v>119</v>
      </c>
      <c r="B14" s="22" t="s">
        <v>7</v>
      </c>
      <c r="C14" s="22" t="s">
        <v>7</v>
      </c>
      <c r="D14" s="22" t="s">
        <v>7</v>
      </c>
      <c r="E14" s="22" t="s">
        <v>7</v>
      </c>
      <c r="F14" s="24" t="s">
        <v>7</v>
      </c>
      <c r="G14" s="24" t="s">
        <v>7</v>
      </c>
      <c r="H14" s="24" t="s">
        <v>7</v>
      </c>
      <c r="I14" s="24" t="s">
        <v>7</v>
      </c>
      <c r="J14" s="24" t="s">
        <v>7</v>
      </c>
    </row>
    <row r="15" spans="1:10" x14ac:dyDescent="0.25">
      <c r="A15" t="s">
        <v>120</v>
      </c>
      <c r="B15" s="25">
        <v>19481</v>
      </c>
      <c r="C15" s="25">
        <v>20138</v>
      </c>
      <c r="D15" s="25">
        <v>21336</v>
      </c>
      <c r="E15" s="25">
        <v>21692</v>
      </c>
      <c r="F15" s="24" t="s">
        <v>7</v>
      </c>
      <c r="G15" s="24" t="s">
        <v>7</v>
      </c>
      <c r="H15" s="24" t="s">
        <v>7</v>
      </c>
      <c r="I15" s="24" t="s">
        <v>7</v>
      </c>
      <c r="J15" s="24" t="s">
        <v>7</v>
      </c>
    </row>
    <row r="16" spans="1:10" x14ac:dyDescent="0.25">
      <c r="A16" t="s">
        <v>121</v>
      </c>
      <c r="B16" s="22" t="s">
        <v>7</v>
      </c>
      <c r="C16" s="22" t="s">
        <v>7</v>
      </c>
      <c r="D16" s="22" t="s">
        <v>7</v>
      </c>
      <c r="E16" s="22" t="s">
        <v>7</v>
      </c>
      <c r="F16" s="24" t="s">
        <v>7</v>
      </c>
      <c r="G16" s="24" t="s">
        <v>7</v>
      </c>
      <c r="H16" s="24" t="s">
        <v>7</v>
      </c>
      <c r="I16" s="24" t="s">
        <v>7</v>
      </c>
      <c r="J16" s="24" t="s">
        <v>7</v>
      </c>
    </row>
    <row r="17" spans="1:10" x14ac:dyDescent="0.25">
      <c r="A17" s="5" t="s">
        <v>122</v>
      </c>
      <c r="B17" s="26" t="s">
        <v>7</v>
      </c>
      <c r="C17" s="26" t="s">
        <v>7</v>
      </c>
      <c r="D17" s="26" t="s">
        <v>7</v>
      </c>
      <c r="E17" s="26" t="s">
        <v>7</v>
      </c>
      <c r="F17" s="21" t="s">
        <v>7</v>
      </c>
      <c r="G17" s="21" t="s">
        <v>7</v>
      </c>
      <c r="H17" s="21" t="s">
        <v>7</v>
      </c>
      <c r="I17" s="21" t="s">
        <v>7</v>
      </c>
      <c r="J17" s="21" t="s">
        <v>7</v>
      </c>
    </row>
    <row r="18" spans="1:10" x14ac:dyDescent="0.25">
      <c r="A18" s="5" t="s">
        <v>123</v>
      </c>
      <c r="B18" s="20">
        <v>52572</v>
      </c>
      <c r="C18" s="20">
        <v>59069</v>
      </c>
      <c r="D18" s="20">
        <v>68472</v>
      </c>
      <c r="E18" s="20">
        <v>73465</v>
      </c>
      <c r="F18" s="21" t="s">
        <v>7</v>
      </c>
      <c r="G18" s="21" t="s">
        <v>7</v>
      </c>
      <c r="H18" s="21" t="s">
        <v>7</v>
      </c>
      <c r="I18" s="21" t="s">
        <v>7</v>
      </c>
      <c r="J18" s="21" t="s">
        <v>7</v>
      </c>
    </row>
    <row r="19" spans="1:10" x14ac:dyDescent="0.25">
      <c r="A19" s="3" t="s">
        <v>124</v>
      </c>
      <c r="B19" s="4"/>
      <c r="C19" s="4"/>
      <c r="D19" s="4"/>
      <c r="E19" s="4"/>
      <c r="F19" s="4"/>
      <c r="G19" s="4"/>
      <c r="H19" s="4"/>
      <c r="I19" s="4"/>
      <c r="J19" s="4"/>
    </row>
    <row r="20" spans="1:10" x14ac:dyDescent="0.25">
      <c r="A20" t="s">
        <v>125</v>
      </c>
      <c r="B20" s="25">
        <v>1644</v>
      </c>
      <c r="C20" s="25">
        <v>1655</v>
      </c>
      <c r="D20" s="25">
        <v>2261</v>
      </c>
      <c r="E20" s="25">
        <v>1720</v>
      </c>
      <c r="F20" s="24" t="s">
        <v>7</v>
      </c>
      <c r="G20" s="24" t="s">
        <v>7</v>
      </c>
      <c r="H20" s="24" t="s">
        <v>7</v>
      </c>
      <c r="I20" s="24" t="s">
        <v>7</v>
      </c>
      <c r="J20" s="24" t="s">
        <v>7</v>
      </c>
    </row>
    <row r="21" spans="1:10" x14ac:dyDescent="0.25">
      <c r="A21" t="s">
        <v>126</v>
      </c>
      <c r="B21" s="22" t="s">
        <v>7</v>
      </c>
      <c r="C21" s="22" t="s">
        <v>7</v>
      </c>
      <c r="D21" s="22" t="s">
        <v>7</v>
      </c>
      <c r="E21" s="22" t="s">
        <v>7</v>
      </c>
      <c r="F21" s="24" t="s">
        <v>7</v>
      </c>
      <c r="G21" s="24" t="s">
        <v>7</v>
      </c>
      <c r="H21" s="24" t="s">
        <v>7</v>
      </c>
      <c r="I21" s="24" t="s">
        <v>7</v>
      </c>
      <c r="J21" s="24" t="s">
        <v>7</v>
      </c>
    </row>
    <row r="22" spans="1:10" x14ac:dyDescent="0.25">
      <c r="A22" t="s">
        <v>127</v>
      </c>
      <c r="B22" s="22" t="s">
        <v>7</v>
      </c>
      <c r="C22" s="22" t="s">
        <v>7</v>
      </c>
      <c r="D22" s="22" t="s">
        <v>7</v>
      </c>
      <c r="E22" s="22" t="s">
        <v>7</v>
      </c>
      <c r="F22" s="24" t="s">
        <v>7</v>
      </c>
      <c r="G22" s="24" t="s">
        <v>7</v>
      </c>
      <c r="H22" s="24" t="s">
        <v>7</v>
      </c>
      <c r="I22" s="24" t="s">
        <v>7</v>
      </c>
      <c r="J22" s="24" t="s">
        <v>7</v>
      </c>
    </row>
    <row r="23" spans="1:10" x14ac:dyDescent="0.25">
      <c r="A23" s="5" t="s">
        <v>128</v>
      </c>
      <c r="B23" s="26" t="s">
        <v>7</v>
      </c>
      <c r="C23" s="26" t="s">
        <v>7</v>
      </c>
      <c r="D23" s="26" t="s">
        <v>7</v>
      </c>
      <c r="E23" s="26" t="s">
        <v>7</v>
      </c>
      <c r="F23" s="21" t="s">
        <v>7</v>
      </c>
      <c r="G23" s="21" t="s">
        <v>7</v>
      </c>
      <c r="H23" s="21" t="s">
        <v>7</v>
      </c>
      <c r="I23" s="21" t="s">
        <v>7</v>
      </c>
      <c r="J23" s="21" t="s">
        <v>7</v>
      </c>
    </row>
    <row r="24" spans="1:10" x14ac:dyDescent="0.25">
      <c r="A24" s="3" t="s">
        <v>129</v>
      </c>
      <c r="B24" s="4"/>
      <c r="C24" s="4"/>
      <c r="D24" s="4"/>
      <c r="E24" s="4"/>
      <c r="F24" s="4"/>
      <c r="G24" s="4"/>
      <c r="H24" s="4"/>
      <c r="I24" s="4"/>
      <c r="J24" s="4"/>
    </row>
    <row r="25" spans="1:10" x14ac:dyDescent="0.25">
      <c r="A25" t="s">
        <v>130</v>
      </c>
      <c r="B25" s="22" t="s">
        <v>7</v>
      </c>
      <c r="C25" s="22" t="s">
        <v>7</v>
      </c>
      <c r="D25" s="22" t="s">
        <v>7</v>
      </c>
      <c r="E25" s="22" t="s">
        <v>7</v>
      </c>
      <c r="F25" s="24" t="s">
        <v>7</v>
      </c>
      <c r="G25" s="24" t="s">
        <v>7</v>
      </c>
      <c r="H25" s="24" t="s">
        <v>7</v>
      </c>
      <c r="I25" s="24" t="s">
        <v>7</v>
      </c>
      <c r="J25" s="24" t="s">
        <v>7</v>
      </c>
    </row>
    <row r="26" spans="1:10" x14ac:dyDescent="0.25">
      <c r="A26" t="s">
        <v>131</v>
      </c>
      <c r="B26" s="22" t="s">
        <v>7</v>
      </c>
      <c r="C26" s="22" t="s">
        <v>7</v>
      </c>
      <c r="D26" s="22" t="s">
        <v>7</v>
      </c>
      <c r="E26" s="22" t="s">
        <v>7</v>
      </c>
      <c r="F26" s="24" t="s">
        <v>7</v>
      </c>
      <c r="G26" s="24" t="s">
        <v>7</v>
      </c>
      <c r="H26" s="24" t="s">
        <v>7</v>
      </c>
      <c r="I26" s="24" t="s">
        <v>7</v>
      </c>
      <c r="J26" s="24" t="s">
        <v>7</v>
      </c>
    </row>
    <row r="27" spans="1:10" x14ac:dyDescent="0.25">
      <c r="A27" t="s">
        <v>132</v>
      </c>
      <c r="B27" s="22" t="s">
        <v>7</v>
      </c>
      <c r="C27" s="22" t="s">
        <v>7</v>
      </c>
      <c r="D27" s="22" t="s">
        <v>7</v>
      </c>
      <c r="E27" s="22" t="s">
        <v>7</v>
      </c>
      <c r="F27" s="24" t="s">
        <v>7</v>
      </c>
      <c r="G27" s="24" t="s">
        <v>7</v>
      </c>
      <c r="H27" s="24" t="s">
        <v>7</v>
      </c>
      <c r="I27" s="24" t="s">
        <v>7</v>
      </c>
      <c r="J27" s="24" t="s">
        <v>7</v>
      </c>
    </row>
    <row r="28" spans="1:10" x14ac:dyDescent="0.25">
      <c r="A28" t="s">
        <v>133</v>
      </c>
      <c r="B28" s="22" t="s">
        <v>7</v>
      </c>
      <c r="C28" s="22" t="s">
        <v>7</v>
      </c>
      <c r="D28" s="22" t="s">
        <v>7</v>
      </c>
      <c r="E28" s="22" t="s">
        <v>7</v>
      </c>
      <c r="F28" s="24" t="s">
        <v>7</v>
      </c>
      <c r="G28" s="24" t="s">
        <v>7</v>
      </c>
      <c r="H28" s="24" t="s">
        <v>7</v>
      </c>
      <c r="I28" s="24" t="s">
        <v>7</v>
      </c>
      <c r="J28" s="24" t="s">
        <v>7</v>
      </c>
    </row>
    <row r="29" spans="1:10" x14ac:dyDescent="0.25">
      <c r="A29" s="5" t="s">
        <v>134</v>
      </c>
      <c r="B29" s="26" t="s">
        <v>7</v>
      </c>
      <c r="C29" s="26" t="s">
        <v>7</v>
      </c>
      <c r="D29" s="26" t="s">
        <v>7</v>
      </c>
      <c r="E29" s="26" t="s">
        <v>7</v>
      </c>
      <c r="F29" s="21" t="s">
        <v>7</v>
      </c>
      <c r="G29" s="21" t="s">
        <v>7</v>
      </c>
      <c r="H29" s="21" t="s">
        <v>7</v>
      </c>
      <c r="I29" s="21" t="s">
        <v>7</v>
      </c>
      <c r="J29" s="21" t="s">
        <v>7</v>
      </c>
    </row>
    <row r="30" spans="1:10" x14ac:dyDescent="0.25">
      <c r="A30" s="5" t="s">
        <v>135</v>
      </c>
      <c r="B30" s="26" t="s">
        <v>7</v>
      </c>
      <c r="C30" s="26" t="s">
        <v>7</v>
      </c>
      <c r="D30" s="26" t="s">
        <v>7</v>
      </c>
      <c r="E30" s="26" t="s">
        <v>7</v>
      </c>
      <c r="F30" s="21" t="s">
        <v>7</v>
      </c>
      <c r="G30" s="21" t="s">
        <v>7</v>
      </c>
      <c r="H30" s="21" t="s">
        <v>7</v>
      </c>
      <c r="I30" s="21" t="s">
        <v>7</v>
      </c>
      <c r="J30" s="21" t="s">
        <v>7</v>
      </c>
    </row>
    <row r="31" spans="1:10" x14ac:dyDescent="0.25">
      <c r="A31" s="3" t="s">
        <v>136</v>
      </c>
      <c r="B31" s="4"/>
      <c r="C31" s="4"/>
      <c r="D31" s="4"/>
      <c r="E31" s="4"/>
      <c r="F31" s="4"/>
      <c r="G31" s="4"/>
      <c r="H31" s="4"/>
      <c r="I31" s="4"/>
      <c r="J31" s="4"/>
    </row>
    <row r="32" spans="1:10" x14ac:dyDescent="0.25">
      <c r="A32" t="s">
        <v>137</v>
      </c>
      <c r="B32" s="25">
        <v>495</v>
      </c>
      <c r="C32" s="25">
        <v>495</v>
      </c>
      <c r="D32" s="25">
        <v>495</v>
      </c>
      <c r="E32" s="25">
        <v>495</v>
      </c>
      <c r="F32" s="24" t="s">
        <v>7</v>
      </c>
      <c r="G32" s="24" t="s">
        <v>7</v>
      </c>
      <c r="H32" s="24" t="s">
        <v>7</v>
      </c>
      <c r="I32" s="24" t="s">
        <v>7</v>
      </c>
      <c r="J32" s="24" t="s">
        <v>7</v>
      </c>
    </row>
    <row r="33" spans="1:10" x14ac:dyDescent="0.25">
      <c r="A33" t="s">
        <v>138</v>
      </c>
      <c r="B33" s="25">
        <v>37192</v>
      </c>
      <c r="C33" s="25">
        <v>38936</v>
      </c>
      <c r="D33" s="25">
        <v>42055</v>
      </c>
      <c r="E33" s="25">
        <v>44978</v>
      </c>
      <c r="F33" s="24" t="s">
        <v>7</v>
      </c>
      <c r="G33" s="24" t="s">
        <v>7</v>
      </c>
      <c r="H33" s="24" t="s">
        <v>7</v>
      </c>
      <c r="I33" s="24" t="s">
        <v>7</v>
      </c>
      <c r="J33" s="24" t="s">
        <v>7</v>
      </c>
    </row>
    <row r="34" spans="1:10" x14ac:dyDescent="0.25">
      <c r="A34" t="s">
        <v>139</v>
      </c>
      <c r="B34" s="22" t="s">
        <v>7</v>
      </c>
      <c r="C34" s="22" t="s">
        <v>7</v>
      </c>
      <c r="D34" s="22" t="s">
        <v>7</v>
      </c>
      <c r="E34" s="22" t="s">
        <v>7</v>
      </c>
      <c r="F34" s="24" t="s">
        <v>7</v>
      </c>
      <c r="G34" s="24" t="s">
        <v>7</v>
      </c>
      <c r="H34" s="24" t="s">
        <v>7</v>
      </c>
      <c r="I34" s="24" t="s">
        <v>7</v>
      </c>
      <c r="J34" s="24" t="s">
        <v>7</v>
      </c>
    </row>
    <row r="35" spans="1:10" x14ac:dyDescent="0.25">
      <c r="A35" t="s">
        <v>140</v>
      </c>
      <c r="B35" s="22" t="s">
        <v>7</v>
      </c>
      <c r="C35" s="22" t="s">
        <v>7</v>
      </c>
      <c r="D35" s="22" t="s">
        <v>7</v>
      </c>
      <c r="E35" s="22" t="s">
        <v>7</v>
      </c>
      <c r="F35" s="24" t="s">
        <v>7</v>
      </c>
      <c r="G35" s="24" t="s">
        <v>7</v>
      </c>
      <c r="H35" s="24" t="s">
        <v>7</v>
      </c>
      <c r="I35" s="24" t="s">
        <v>7</v>
      </c>
      <c r="J35" s="24" t="s">
        <v>7</v>
      </c>
    </row>
    <row r="36" spans="1:10" x14ac:dyDescent="0.25">
      <c r="A36" s="5" t="s">
        <v>141</v>
      </c>
      <c r="B36" s="26" t="s">
        <v>7</v>
      </c>
      <c r="C36" s="26" t="s">
        <v>7</v>
      </c>
      <c r="D36" s="26" t="s">
        <v>7</v>
      </c>
      <c r="E36" s="26" t="s">
        <v>7</v>
      </c>
      <c r="F36" s="21" t="s">
        <v>7</v>
      </c>
      <c r="G36" s="21" t="s">
        <v>7</v>
      </c>
      <c r="H36" s="21" t="s">
        <v>7</v>
      </c>
      <c r="I36" s="21" t="s">
        <v>7</v>
      </c>
      <c r="J36" s="21" t="s">
        <v>7</v>
      </c>
    </row>
    <row r="37" spans="1:10" x14ac:dyDescent="0.25">
      <c r="A37" s="5" t="s">
        <v>142</v>
      </c>
      <c r="B37" s="26" t="s">
        <v>7</v>
      </c>
      <c r="C37" s="26" t="s">
        <v>7</v>
      </c>
      <c r="D37" s="26" t="s">
        <v>7</v>
      </c>
      <c r="E37" s="26" t="s">
        <v>7</v>
      </c>
      <c r="F37" s="21" t="s">
        <v>7</v>
      </c>
      <c r="G37" s="21" t="s">
        <v>7</v>
      </c>
      <c r="H37" s="21" t="s">
        <v>7</v>
      </c>
      <c r="I37" s="21" t="s">
        <v>7</v>
      </c>
      <c r="J37" s="21" t="s">
        <v>7</v>
      </c>
    </row>
    <row r="38" spans="1:10" x14ac:dyDescent="0.25">
      <c r="A38" t="s">
        <v>143</v>
      </c>
      <c r="B38" s="22" t="s">
        <v>7</v>
      </c>
      <c r="C38" s="22" t="s">
        <v>7</v>
      </c>
      <c r="D38" s="22" t="s">
        <v>7</v>
      </c>
      <c r="E38" s="22" t="s">
        <v>7</v>
      </c>
      <c r="F38" s="24" t="s">
        <v>7</v>
      </c>
      <c r="G38" s="24" t="s">
        <v>7</v>
      </c>
      <c r="H38" s="24" t="s">
        <v>7</v>
      </c>
      <c r="I38" s="24" t="s">
        <v>7</v>
      </c>
      <c r="J38" s="24" t="s">
        <v>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144</v>
      </c>
    </row>
    <row r="2" spans="1:1" x14ac:dyDescent="0.25">
      <c r="A2" s="2" t="s">
        <v>88</v>
      </c>
    </row>
    <row r="3" spans="1:1" x14ac:dyDescent="0.25">
      <c r="A3" s="2" t="s">
        <v>89</v>
      </c>
    </row>
    <row r="4" spans="1:10" x14ac:dyDescent="0.25">
      <c r="A4" s="8"/>
      <c r="B4" s="9" t="s">
        <v>16</v>
      </c>
      <c r="C4" s="9" t="s">
        <v>17</v>
      </c>
      <c r="D4" s="9" t="s">
        <v>18</v>
      </c>
      <c r="E4" s="9" t="s">
        <v>19</v>
      </c>
      <c r="F4" s="9" t="s">
        <v>20</v>
      </c>
      <c r="G4" s="9" t="s">
        <v>21</v>
      </c>
      <c r="H4" s="9" t="s">
        <v>22</v>
      </c>
      <c r="I4" s="9" t="s">
        <v>23</v>
      </c>
      <c r="J4" s="9" t="s">
        <v>24</v>
      </c>
    </row>
    <row r="5" spans="1:10" x14ac:dyDescent="0.25">
      <c r="A5" s="3" t="s">
        <v>145</v>
      </c>
      <c r="B5" s="4"/>
      <c r="C5" s="4"/>
      <c r="D5" s="4"/>
      <c r="E5" s="4"/>
      <c r="F5" s="4"/>
      <c r="G5" s="4"/>
      <c r="H5" s="4"/>
      <c r="I5" s="4"/>
      <c r="J5" s="4"/>
    </row>
    <row r="6" spans="1:10" x14ac:dyDescent="0.25">
      <c r="A6" t="s">
        <v>146</v>
      </c>
      <c r="B6" s="25">
        <v>2034</v>
      </c>
      <c r="C6" s="25">
        <v>2724</v>
      </c>
      <c r="D6" s="25">
        <v>4367</v>
      </c>
      <c r="E6" s="25">
        <v>4415</v>
      </c>
      <c r="F6" s="24" t="s">
        <v>7</v>
      </c>
      <c r="G6" s="24" t="s">
        <v>7</v>
      </c>
      <c r="H6" s="24" t="s">
        <v>7</v>
      </c>
      <c r="I6" s="24" t="s">
        <v>7</v>
      </c>
      <c r="J6" s="24" t="s">
        <v>7</v>
      </c>
    </row>
    <row r="7" spans="1:10" x14ac:dyDescent="0.25">
      <c r="A7" t="s">
        <v>96</v>
      </c>
      <c r="B7" s="25">
        <v>149</v>
      </c>
      <c r="C7" s="25">
        <v>148</v>
      </c>
      <c r="D7" s="25">
        <v>151</v>
      </c>
      <c r="E7" s="25">
        <v>142</v>
      </c>
      <c r="F7" s="24" t="s">
        <v>7</v>
      </c>
      <c r="G7" s="24" t="s">
        <v>7</v>
      </c>
      <c r="H7" s="24" t="s">
        <v>7</v>
      </c>
      <c r="I7" s="24" t="s">
        <v>7</v>
      </c>
      <c r="J7" s="24" t="s">
        <v>7</v>
      </c>
    </row>
    <row r="8" spans="1:10" x14ac:dyDescent="0.25">
      <c r="A8" t="s">
        <v>147</v>
      </c>
      <c r="B8" s="22" t="s">
        <v>7</v>
      </c>
      <c r="C8" s="22" t="s">
        <v>7</v>
      </c>
      <c r="D8" s="22" t="s">
        <v>7</v>
      </c>
      <c r="E8" s="22" t="s">
        <v>7</v>
      </c>
      <c r="F8" s="24" t="s">
        <v>7</v>
      </c>
      <c r="G8" s="24" t="s">
        <v>7</v>
      </c>
      <c r="H8" s="24" t="s">
        <v>7</v>
      </c>
      <c r="I8" s="24" t="s">
        <v>7</v>
      </c>
      <c r="J8" s="24" t="s">
        <v>7</v>
      </c>
    </row>
    <row r="9" spans="1:10" x14ac:dyDescent="0.25">
      <c r="A9" t="s">
        <v>148</v>
      </c>
      <c r="B9" s="22" t="s">
        <v>7</v>
      </c>
      <c r="C9" s="22" t="s">
        <v>7</v>
      </c>
      <c r="D9" s="22" t="s">
        <v>7</v>
      </c>
      <c r="E9" s="22" t="s">
        <v>7</v>
      </c>
      <c r="F9" s="24" t="s">
        <v>7</v>
      </c>
      <c r="G9" s="24" t="s">
        <v>7</v>
      </c>
      <c r="H9" s="24" t="s">
        <v>7</v>
      </c>
      <c r="I9" s="24" t="s">
        <v>7</v>
      </c>
      <c r="J9" s="24" t="s">
        <v>7</v>
      </c>
    </row>
    <row r="10" spans="1:10" x14ac:dyDescent="0.25">
      <c r="A10" t="s">
        <v>149</v>
      </c>
      <c r="B10" s="22" t="s">
        <v>7</v>
      </c>
      <c r="C10" s="22" t="s">
        <v>7</v>
      </c>
      <c r="D10" s="22" t="s">
        <v>7</v>
      </c>
      <c r="E10" s="22" t="s">
        <v>7</v>
      </c>
      <c r="F10" s="24" t="s">
        <v>7</v>
      </c>
      <c r="G10" s="24" t="s">
        <v>7</v>
      </c>
      <c r="H10" s="24" t="s">
        <v>7</v>
      </c>
      <c r="I10" s="24" t="s">
        <v>7</v>
      </c>
      <c r="J10" s="24" t="s">
        <v>7</v>
      </c>
    </row>
    <row r="11" spans="1:10" x14ac:dyDescent="0.25">
      <c r="A11" t="s">
        <v>150</v>
      </c>
      <c r="B11" s="22" t="s">
        <v>7</v>
      </c>
      <c r="C11" s="22" t="s">
        <v>7</v>
      </c>
      <c r="D11" s="22" t="s">
        <v>7</v>
      </c>
      <c r="E11" s="22" t="s">
        <v>7</v>
      </c>
      <c r="F11" s="24" t="s">
        <v>7</v>
      </c>
      <c r="G11" s="24" t="s">
        <v>7</v>
      </c>
      <c r="H11" s="24" t="s">
        <v>7</v>
      </c>
      <c r="I11" s="24" t="s">
        <v>7</v>
      </c>
      <c r="J11" s="24" t="s">
        <v>7</v>
      </c>
    </row>
    <row r="12" spans="1:10" x14ac:dyDescent="0.25">
      <c r="A12" t="s">
        <v>151</v>
      </c>
      <c r="B12" s="22" t="s">
        <v>7</v>
      </c>
      <c r="C12" s="22" t="s">
        <v>7</v>
      </c>
      <c r="D12" s="22" t="s">
        <v>7</v>
      </c>
      <c r="E12" s="22" t="s">
        <v>7</v>
      </c>
      <c r="F12" s="24" t="s">
        <v>7</v>
      </c>
      <c r="G12" s="24" t="s">
        <v>7</v>
      </c>
      <c r="H12" s="24" t="s">
        <v>7</v>
      </c>
      <c r="I12" s="24" t="s">
        <v>7</v>
      </c>
      <c r="J12" s="24" t="s">
        <v>7</v>
      </c>
    </row>
    <row r="13" spans="1:10" x14ac:dyDescent="0.25">
      <c r="A13" s="5" t="s">
        <v>152</v>
      </c>
      <c r="B13" s="20">
        <v>2375</v>
      </c>
      <c r="C13" s="20">
        <v>2539</v>
      </c>
      <c r="D13" s="20">
        <v>5235</v>
      </c>
      <c r="E13" s="20">
        <v>6347</v>
      </c>
      <c r="F13" s="21" t="s">
        <v>7</v>
      </c>
      <c r="G13" s="21" t="s">
        <v>7</v>
      </c>
      <c r="H13" s="21" t="s">
        <v>7</v>
      </c>
      <c r="I13" s="21" t="s">
        <v>7</v>
      </c>
      <c r="J13" s="21" t="s">
        <v>7</v>
      </c>
    </row>
    <row r="14" spans="1:10" x14ac:dyDescent="0.25">
      <c r="A14" s="3" t="s">
        <v>153</v>
      </c>
      <c r="B14" s="4"/>
      <c r="C14" s="4"/>
      <c r="D14" s="4"/>
      <c r="E14" s="4"/>
      <c r="F14" s="4"/>
      <c r="G14" s="4"/>
      <c r="H14" s="4"/>
      <c r="I14" s="4"/>
      <c r="J14" s="4"/>
    </row>
    <row r="15" spans="1:10" x14ac:dyDescent="0.25">
      <c r="A15" t="s">
        <v>154</v>
      </c>
      <c r="B15" s="25">
        <v>-64</v>
      </c>
      <c r="C15" s="25">
        <v>-116</v>
      </c>
      <c r="D15" s="25">
        <v>-96</v>
      </c>
      <c r="E15" s="25">
        <v>-129</v>
      </c>
      <c r="F15" s="24" t="s">
        <v>7</v>
      </c>
      <c r="G15" s="24" t="s">
        <v>7</v>
      </c>
      <c r="H15" s="24" t="s">
        <v>7</v>
      </c>
      <c r="I15" s="24" t="s">
        <v>7</v>
      </c>
      <c r="J15" s="24" t="s">
        <v>7</v>
      </c>
    </row>
    <row r="16" spans="1:10" x14ac:dyDescent="0.25">
      <c r="A16" t="s">
        <v>155</v>
      </c>
      <c r="B16" s="22" t="s">
        <v>7</v>
      </c>
      <c r="C16" s="22" t="s">
        <v>7</v>
      </c>
      <c r="D16" s="22" t="s">
        <v>7</v>
      </c>
      <c r="E16" s="22" t="s">
        <v>7</v>
      </c>
      <c r="F16" s="24" t="s">
        <v>7</v>
      </c>
      <c r="G16" s="24" t="s">
        <v>7</v>
      </c>
      <c r="H16" s="24" t="s">
        <v>7</v>
      </c>
      <c r="I16" s="24" t="s">
        <v>7</v>
      </c>
      <c r="J16" s="24" t="s">
        <v>7</v>
      </c>
    </row>
    <row r="17" spans="1:10" x14ac:dyDescent="0.25">
      <c r="A17" t="s">
        <v>156</v>
      </c>
      <c r="B17" s="22" t="s">
        <v>7</v>
      </c>
      <c r="C17" s="22" t="s">
        <v>7</v>
      </c>
      <c r="D17" s="22" t="s">
        <v>7</v>
      </c>
      <c r="E17" s="22" t="s">
        <v>7</v>
      </c>
      <c r="F17" s="24" t="s">
        <v>7</v>
      </c>
      <c r="G17" s="24" t="s">
        <v>7</v>
      </c>
      <c r="H17" s="24" t="s">
        <v>7</v>
      </c>
      <c r="I17" s="24" t="s">
        <v>7</v>
      </c>
      <c r="J17" s="24" t="s">
        <v>7</v>
      </c>
    </row>
    <row r="18" spans="1:10" x14ac:dyDescent="0.25">
      <c r="A18" s="5" t="s">
        <v>157</v>
      </c>
      <c r="B18" s="20">
        <v>-461</v>
      </c>
      <c r="C18" s="20">
        <v>-1529</v>
      </c>
      <c r="D18" s="20">
        <v>-3475</v>
      </c>
      <c r="E18" s="20">
        <v>721</v>
      </c>
      <c r="F18" s="21" t="s">
        <v>7</v>
      </c>
      <c r="G18" s="21" t="s">
        <v>7</v>
      </c>
      <c r="H18" s="21" t="s">
        <v>7</v>
      </c>
      <c r="I18" s="21" t="s">
        <v>7</v>
      </c>
      <c r="J18" s="21" t="s">
        <v>7</v>
      </c>
    </row>
    <row r="19" spans="1:10" x14ac:dyDescent="0.25">
      <c r="A19" s="3" t="s">
        <v>158</v>
      </c>
      <c r="B19" s="4"/>
      <c r="C19" s="4"/>
      <c r="D19" s="4"/>
      <c r="E19" s="4"/>
      <c r="F19" s="4"/>
      <c r="G19" s="4"/>
      <c r="H19" s="4"/>
      <c r="I19" s="4"/>
      <c r="J19" s="4"/>
    </row>
    <row r="20" spans="1:10" x14ac:dyDescent="0.25">
      <c r="A20" t="s">
        <v>159</v>
      </c>
      <c r="B20" s="22" t="s">
        <v>7</v>
      </c>
      <c r="C20" s="22" t="s">
        <v>7</v>
      </c>
      <c r="D20" s="22" t="s">
        <v>7</v>
      </c>
      <c r="E20" s="22" t="s">
        <v>7</v>
      </c>
      <c r="F20" s="24" t="s">
        <v>7</v>
      </c>
      <c r="G20" s="24" t="s">
        <v>7</v>
      </c>
      <c r="H20" s="24" t="s">
        <v>7</v>
      </c>
      <c r="I20" s="24" t="s">
        <v>7</v>
      </c>
      <c r="J20" s="24" t="s">
        <v>7</v>
      </c>
    </row>
    <row r="21" spans="1:10" x14ac:dyDescent="0.25">
      <c r="A21" t="s">
        <v>160</v>
      </c>
      <c r="B21" s="22" t="s">
        <v>7</v>
      </c>
      <c r="C21" s="22" t="s">
        <v>7</v>
      </c>
      <c r="D21" s="22" t="s">
        <v>7</v>
      </c>
      <c r="E21" s="22" t="s">
        <v>7</v>
      </c>
      <c r="F21" s="24" t="s">
        <v>7</v>
      </c>
      <c r="G21" s="24" t="s">
        <v>7</v>
      </c>
      <c r="H21" s="24" t="s">
        <v>7</v>
      </c>
      <c r="I21" s="24" t="s">
        <v>7</v>
      </c>
      <c r="J21" s="24" t="s">
        <v>7</v>
      </c>
    </row>
    <row r="22" spans="1:10" x14ac:dyDescent="0.25">
      <c r="A22" t="s">
        <v>161</v>
      </c>
      <c r="B22" s="22" t="s">
        <v>7</v>
      </c>
      <c r="C22" s="22" t="s">
        <v>7</v>
      </c>
      <c r="D22" s="22" t="s">
        <v>7</v>
      </c>
      <c r="E22" s="22" t="s">
        <v>7</v>
      </c>
      <c r="F22" s="24" t="s">
        <v>7</v>
      </c>
      <c r="G22" s="24" t="s">
        <v>7</v>
      </c>
      <c r="H22" s="24" t="s">
        <v>7</v>
      </c>
      <c r="I22" s="24" t="s">
        <v>7</v>
      </c>
      <c r="J22" s="24" t="s">
        <v>7</v>
      </c>
    </row>
    <row r="23" spans="1:10" x14ac:dyDescent="0.25">
      <c r="A23" t="s">
        <v>162</v>
      </c>
      <c r="B23" s="22" t="s">
        <v>7</v>
      </c>
      <c r="C23" s="22" t="s">
        <v>7</v>
      </c>
      <c r="D23" s="22" t="s">
        <v>7</v>
      </c>
      <c r="E23" s="22" t="s">
        <v>7</v>
      </c>
      <c r="F23" s="24" t="s">
        <v>7</v>
      </c>
      <c r="G23" s="24" t="s">
        <v>7</v>
      </c>
      <c r="H23" s="24" t="s">
        <v>7</v>
      </c>
      <c r="I23" s="24" t="s">
        <v>7</v>
      </c>
      <c r="J23" s="24" t="s">
        <v>7</v>
      </c>
    </row>
    <row r="24" spans="1:10" x14ac:dyDescent="0.25">
      <c r="A24" s="5" t="s">
        <v>163</v>
      </c>
      <c r="B24" s="20">
        <v>-2013</v>
      </c>
      <c r="C24" s="20">
        <v>177</v>
      </c>
      <c r="D24" s="20">
        <v>-2403</v>
      </c>
      <c r="E24" s="20">
        <v>-5547</v>
      </c>
      <c r="F24" s="21" t="s">
        <v>7</v>
      </c>
      <c r="G24" s="21" t="s">
        <v>7</v>
      </c>
      <c r="H24" s="21" t="s">
        <v>7</v>
      </c>
      <c r="I24" s="21" t="s">
        <v>7</v>
      </c>
      <c r="J24" s="21" t="s">
        <v>7</v>
      </c>
    </row>
    <row r="25" spans="1:10" x14ac:dyDescent="0.25">
      <c r="A25" s="5" t="s">
        <v>164</v>
      </c>
      <c r="B25" s="20">
        <f>SUM(B13,B18,B24)</f>
        <v>-99</v>
      </c>
      <c r="C25" s="20">
        <f>SUM(C13,C18,C24)</f>
        <v>1187</v>
      </c>
      <c r="D25" s="20">
        <f>SUM(D13,D18,D24)</f>
        <v>-643</v>
      </c>
      <c r="E25" s="20">
        <f>SUM(E13,E18,E24)</f>
        <v>1521</v>
      </c>
      <c r="F25" s="21" t="s">
        <v>7</v>
      </c>
      <c r="G25" s="21" t="s">
        <v>7</v>
      </c>
      <c r="H25" s="21" t="s">
        <v>7</v>
      </c>
      <c r="I25" s="21" t="s">
        <v>7</v>
      </c>
      <c r="J25" s="21" t="s">
        <v>7</v>
      </c>
    </row>
    <row r="26" spans="1:10" x14ac:dyDescent="0.25">
      <c r="A26" t="s">
        <v>165</v>
      </c>
      <c r="B26" s="25">
        <v>2374</v>
      </c>
      <c r="C26" s="25">
        <v>2275</v>
      </c>
      <c r="D26" s="25">
        <v>4384</v>
      </c>
      <c r="E26" s="25">
        <v>4338</v>
      </c>
      <c r="F26" s="24" t="s">
        <v>7</v>
      </c>
      <c r="G26" s="24" t="s">
        <v>7</v>
      </c>
      <c r="H26" s="24" t="s">
        <v>7</v>
      </c>
      <c r="I26" s="24" t="s">
        <v>7</v>
      </c>
      <c r="J26" s="24" t="s">
        <v>7</v>
      </c>
    </row>
    <row r="27" spans="1:10" x14ac:dyDescent="0.25">
      <c r="A27" s="5" t="s">
        <v>166</v>
      </c>
      <c r="B27" s="20">
        <f>SUM(B26,B25)</f>
        <v>2275</v>
      </c>
      <c r="C27" s="20">
        <v>4384</v>
      </c>
      <c r="D27" s="20">
        <v>4338</v>
      </c>
      <c r="E27" s="20">
        <v>7746</v>
      </c>
      <c r="F27" s="21" t="s">
        <v>7</v>
      </c>
      <c r="G27" s="21" t="s">
        <v>7</v>
      </c>
      <c r="H27" s="21" t="s">
        <v>7</v>
      </c>
      <c r="I27" s="21" t="s">
        <v>7</v>
      </c>
      <c r="J27" s="21" t="s">
        <v>7</v>
      </c>
    </row>
    <row r="29" spans="1:10" x14ac:dyDescent="0.25">
      <c r="A29" s="3" t="s">
        <v>167</v>
      </c>
      <c r="B29" s="4"/>
      <c r="C29" s="4"/>
      <c r="D29" s="4"/>
      <c r="E29" s="4"/>
      <c r="F29" s="4"/>
      <c r="G29" s="4"/>
      <c r="H29" s="4"/>
      <c r="I29" s="4"/>
      <c r="J29" s="4"/>
    </row>
    <row r="30" spans="1:10" x14ac:dyDescent="0.25">
      <c r="A30" s="5" t="s">
        <v>168</v>
      </c>
      <c r="B30" s="10">
        <f>B13-ABS(B15)</f>
        <v>2311</v>
      </c>
      <c r="C30" s="10">
        <f>C13-ABS(C15)</f>
        <v>2423</v>
      </c>
      <c r="D30" s="10">
        <f>D13-ABS(D15)</f>
        <v>5139</v>
      </c>
      <c r="E30" s="10">
        <f>E13-ABS(E15)</f>
        <v>6218</v>
      </c>
      <c r="F30" s="11" t="s">
        <v>7</v>
      </c>
      <c r="G30" s="11" t="s">
        <v>7</v>
      </c>
      <c r="H30" s="11" t="s">
        <v>7</v>
      </c>
      <c r="I30" s="11" t="s">
        <v>7</v>
      </c>
      <c r="J30" s="11" t="s">
        <v>7</v>
      </c>
    </row>
    <row r="31" spans="1:10" x14ac:dyDescent="0.25">
      <c r="A31" t="s">
        <v>169</v>
      </c>
      <c r="B31" s="12">
        <f>B30/'Income Statement'!B5</f>
        <v>0.40579455662862157</v>
      </c>
      <c r="C31" s="12">
        <f>C30/'Income Statement'!C5</f>
        <v>0.37700326746538043</v>
      </c>
      <c r="D31" s="12">
        <f>D30/'Income Statement'!D5</f>
        <v>0.6428571428571429</v>
      </c>
      <c r="E31" s="12">
        <f>E30/'Income Statement'!E5</f>
        <v>0.758847937515255</v>
      </c>
      <c r="F31" s="13" t="s">
        <v>7</v>
      </c>
      <c r="G31" s="13" t="s">
        <v>7</v>
      </c>
      <c r="H31" s="13" t="s">
        <v>7</v>
      </c>
      <c r="I31" s="13" t="s">
        <v>7</v>
      </c>
      <c r="J31" s="13" t="s">
        <v>7</v>
      </c>
    </row>
    <row r="32" spans="1:10" x14ac:dyDescent="0.25">
      <c r="A32" t="s">
        <v>170</v>
      </c>
      <c r="B32" s="12">
        <f>B30/'Income Statement'!B20</f>
        <v>1.1361848574237954</v>
      </c>
      <c r="C32" s="12">
        <f>C30/'Income Statement'!C20</f>
        <v>0.8895007342143906</v>
      </c>
      <c r="D32" s="12">
        <f>D30/'Income Statement'!D20</f>
        <v>1.1767803984428669</v>
      </c>
      <c r="E32" s="12">
        <f>E30/'Income Statement'!E20</f>
        <v>1.4083805209513023</v>
      </c>
      <c r="F32" s="13" t="s">
        <v>7</v>
      </c>
      <c r="G32" s="13" t="s">
        <v>7</v>
      </c>
      <c r="H32" s="13" t="s">
        <v>7</v>
      </c>
      <c r="I32" s="13" t="s">
        <v>7</v>
      </c>
      <c r="J32" s="13" t="s">
        <v>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FormatPr defaultRowHeight="15" outlineLevelRow="0" outlineLevelCol="0" x14ac:dyDescent="55"/>
  <cols>
    <col min="1" max="1" width="42" customWidth="1"/>
  </cols>
  <sheetData>
    <row r="1" spans="1:1" x14ac:dyDescent="0.25">
      <c r="A1" s="1" t="s">
        <v>171</v>
      </c>
    </row>
    <row r="2" spans="1:1" x14ac:dyDescent="0.25">
      <c r="A2" s="2" t="s">
        <v>172</v>
      </c>
    </row>
    <row r="4" spans="1:6" x14ac:dyDescent="0.25">
      <c r="A4" s="8" t="s">
        <v>173</v>
      </c>
      <c r="B4" s="9" t="s">
        <v>20</v>
      </c>
      <c r="C4" s="9" t="s">
        <v>21</v>
      </c>
      <c r="D4" s="9" t="s">
        <v>22</v>
      </c>
      <c r="E4" s="9" t="s">
        <v>23</v>
      </c>
      <c r="F4" s="9" t="s">
        <v>24</v>
      </c>
    </row>
    <row r="5" spans="1:6" x14ac:dyDescent="0.25">
      <c r="A5" t="s">
        <v>174</v>
      </c>
      <c r="B5" s="29">
        <v>0.12853380158033362</v>
      </c>
      <c r="C5" s="29">
        <v>0.10890035118525021</v>
      </c>
      <c r="D5" s="29">
        <v>0.0892669007901668</v>
      </c>
      <c r="E5" s="29">
        <v>0.06963345039508341</v>
      </c>
      <c r="F5" s="29">
        <v>0.05</v>
      </c>
    </row>
    <row r="6" spans="1:6" x14ac:dyDescent="0.25">
      <c r="A6" t="s">
        <v>175</v>
      </c>
      <c r="B6" s="29">
        <v>0</v>
      </c>
      <c r="C6" s="29">
        <v>0</v>
      </c>
      <c r="D6" s="29">
        <v>0</v>
      </c>
      <c r="E6" s="29">
        <v>0</v>
      </c>
      <c r="F6" s="29">
        <v>0</v>
      </c>
    </row>
    <row r="7" spans="1:6" x14ac:dyDescent="0.25">
      <c r="A7" t="s">
        <v>176</v>
      </c>
      <c r="B7" s="29">
        <v>0.7165521309551084</v>
      </c>
      <c r="C7" s="29">
        <v>0.7165521309551084</v>
      </c>
      <c r="D7" s="29">
        <v>0.7165521309551084</v>
      </c>
      <c r="E7" s="29">
        <v>0.7165521309551084</v>
      </c>
      <c r="F7" s="29">
        <v>0.7165521309551084</v>
      </c>
    </row>
    <row r="8" spans="1:6" x14ac:dyDescent="0.25">
      <c r="A8" t="s">
        <v>177</v>
      </c>
      <c r="B8" s="29">
        <v>0.2399814039981404</v>
      </c>
      <c r="C8" s="29">
        <v>0.2399814039981404</v>
      </c>
      <c r="D8" s="29">
        <v>0.2399814039981404</v>
      </c>
      <c r="E8" s="29">
        <v>0.2399814039981404</v>
      </c>
      <c r="F8" s="29">
        <v>0.2399814039981404</v>
      </c>
    </row>
    <row r="9" spans="1:6" x14ac:dyDescent="0.25">
      <c r="A9" t="s">
        <v>178</v>
      </c>
      <c r="B9" s="29">
        <v>36</v>
      </c>
      <c r="C9" s="29">
        <v>36</v>
      </c>
      <c r="D9" s="29">
        <v>36</v>
      </c>
      <c r="E9" s="29">
        <v>36</v>
      </c>
      <c r="F9" s="29">
        <v>36</v>
      </c>
    </row>
    <row r="10" spans="1:6" x14ac:dyDescent="0.25">
      <c r="A10" t="s">
        <v>179</v>
      </c>
      <c r="B10" s="29">
        <v>0</v>
      </c>
      <c r="C10" s="29">
        <v>0</v>
      </c>
      <c r="D10" s="29">
        <v>0</v>
      </c>
      <c r="E10" s="29">
        <v>0</v>
      </c>
      <c r="F10" s="29">
        <v>0</v>
      </c>
    </row>
    <row r="11" spans="1:6" x14ac:dyDescent="0.25">
      <c r="A11" t="s">
        <v>180</v>
      </c>
      <c r="B11" s="29">
        <v>25</v>
      </c>
      <c r="C11" s="29">
        <v>25</v>
      </c>
      <c r="D11" s="29">
        <v>25</v>
      </c>
      <c r="E11" s="29">
        <v>25</v>
      </c>
      <c r="F11" s="29">
        <v>25</v>
      </c>
    </row>
    <row r="12" spans="1:6" x14ac:dyDescent="0.25">
      <c r="A12" t="s">
        <v>181</v>
      </c>
      <c r="B12" s="29">
        <v>0.013876116753173863</v>
      </c>
      <c r="C12" s="29">
        <v>0.015407087564880398</v>
      </c>
      <c r="D12" s="29">
        <v>0.01693805837658693</v>
      </c>
      <c r="E12" s="29">
        <v>0.018469029188293466</v>
      </c>
      <c r="F12" s="29">
        <v>0.02</v>
      </c>
    </row>
    <row r="13" spans="1:6" x14ac:dyDescent="0.25">
      <c r="A13" t="s">
        <v>182</v>
      </c>
      <c r="B13" s="29">
        <v>0.6</v>
      </c>
      <c r="C13" s="29">
        <v>0.6</v>
      </c>
      <c r="D13" s="29">
        <v>0.6</v>
      </c>
      <c r="E13" s="29">
        <v>0.6</v>
      </c>
      <c r="F13" s="29">
        <v>0.6</v>
      </c>
    </row>
    <row r="15" spans="1:1" x14ac:dyDescent="0.25">
      <c r="A15" s="2" t="s">
        <v>183</v>
      </c>
    </row>
    <row r="17" spans="1:6" x14ac:dyDescent="0.25">
      <c r="A17" s="3" t="s">
        <v>184</v>
      </c>
      <c r="B17" s="4"/>
      <c r="C17" s="4"/>
      <c r="D17" s="4"/>
      <c r="E17" s="4"/>
      <c r="F17" s="4"/>
    </row>
    <row r="18" spans="1:3" x14ac:dyDescent="0.25">
      <c r="A18" t="s">
        <v>185</v>
      </c>
      <c r="C18" s="5" t="s">
        <v>186</v>
      </c>
    </row>
    <row r="19" spans="1:3" x14ac:dyDescent="0.25">
      <c r="A19" t="s">
        <v>187</v>
      </c>
      <c r="C19" t="s">
        <v>7</v>
      </c>
    </row>
    <row r="20" ht="80" customHeight="1" spans="1:8" x14ac:dyDescent="0.25">
      <c r="A20" t="s">
        <v>188</v>
      </c>
      <c r="C20" s="7" t="s">
        <v>189</v>
      </c>
      <c r="D20" s="7"/>
      <c r="E20" s="7"/>
      <c r="F20" s="7"/>
      <c r="G20" s="7"/>
      <c r="H20" s="7"/>
    </row>
  </sheetData>
  <mergeCells count="1">
    <mergeCell ref="C20:H20"/>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40" customWidth="1"/>
    <col min="2" max="2" width="34" customWidth="1"/>
  </cols>
  <sheetData>
    <row r="1" spans="1:1" x14ac:dyDescent="0.25">
      <c r="A1" s="1" t="s">
        <v>190</v>
      </c>
    </row>
    <row r="2" spans="1:1" x14ac:dyDescent="0.25">
      <c r="A2" s="2" t="s">
        <v>191</v>
      </c>
    </row>
    <row r="4" spans="1:7" x14ac:dyDescent="0.25">
      <c r="A4" s="3" t="s">
        <v>192</v>
      </c>
      <c r="B4" s="4"/>
      <c r="C4" s="4"/>
      <c r="D4" s="4"/>
      <c r="E4" s="4"/>
      <c r="F4" s="4"/>
      <c r="G4" s="4"/>
    </row>
    <row r="5" spans="1:2" x14ac:dyDescent="0.25">
      <c r="A5" t="s">
        <v>193</v>
      </c>
      <c r="B5" s="5" t="s">
        <v>9</v>
      </c>
    </row>
    <row r="6" spans="1:2" x14ac:dyDescent="0.25">
      <c r="A6" t="s">
        <v>4</v>
      </c>
      <c r="B6" s="5" t="s">
        <v>5</v>
      </c>
    </row>
    <row r="7" spans="1:2" x14ac:dyDescent="0.25">
      <c r="A7" t="s">
        <v>3</v>
      </c>
      <c r="B7" s="14">
        <v>691.55</v>
      </c>
    </row>
    <row r="8" spans="1:1" x14ac:dyDescent="0.25">
      <c r="A8" t="s">
        <v>6</v>
      </c>
    </row>
    <row r="9" spans="1:3" x14ac:dyDescent="0.25">
      <c r="A9" t="s">
        <v>10</v>
      </c>
      <c r="B9" t="s">
        <v>11</v>
      </c>
      <c r="C9" s="2" t="s">
        <v>194</v>
      </c>
    </row>
    <row r="10" spans="1:2" x14ac:dyDescent="0.25">
      <c r="A10" t="s">
        <v>195</v>
      </c>
      <c r="B10" s="5" t="s">
        <v>5</v>
      </c>
    </row>
    <row r="11" spans="1:2" x14ac:dyDescent="0.25">
      <c r="A11" t="s">
        <v>196</v>
      </c>
      <c r="B11" t="s">
        <v>197</v>
      </c>
    </row>
    <row r="12" spans="1:7" x14ac:dyDescent="0.25">
      <c r="A12" t="s">
        <v>12</v>
      </c>
      <c r="B12" s="7" t="s">
        <v>13</v>
      </c>
      <c r="C12" s="7"/>
      <c r="D12" s="7"/>
      <c r="E12" s="7"/>
      <c r="F12" s="7"/>
      <c r="G12" s="7"/>
    </row>
  </sheetData>
  <mergeCells count="1">
    <mergeCell ref="B12:G1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workbookViewId="0">
      <pane xSplit="1" ySplit="2" topLeftCell="B3" activePane="bottomRight" state="frozen"/>
      <selection pane="bottomRight"/>
    </sheetView>
  </sheetViews>
  <sheetFormatPr defaultRowHeight="15" outlineLevelRow="0" outlineLevelCol="0" x14ac:dyDescent="55"/>
  <cols>
    <col min="1" max="1" width="40" customWidth="1"/>
    <col min="2" max="2" width="16" customWidth="1"/>
    <col min="3" max="16" width="13" customWidth="1"/>
  </cols>
  <sheetData>
    <row r="1" spans="1:1" x14ac:dyDescent="0.25">
      <c r="A1" s="1" t="s">
        <v>198</v>
      </c>
    </row>
    <row r="2" spans="1:1" x14ac:dyDescent="0.25">
      <c r="A2" s="2" t="s">
        <v>199</v>
      </c>
    </row>
    <row r="4" spans="1:16" x14ac:dyDescent="0.25">
      <c r="A4" s="3" t="s">
        <v>200</v>
      </c>
      <c r="B4" s="4"/>
      <c r="C4" s="4"/>
      <c r="D4" s="4"/>
      <c r="E4" s="4"/>
      <c r="F4" s="4"/>
      <c r="G4" s="4"/>
      <c r="H4" s="4"/>
      <c r="I4" s="4"/>
      <c r="J4" s="4"/>
      <c r="K4" s="4"/>
      <c r="L4" s="4"/>
      <c r="M4" s="4"/>
      <c r="N4" s="4"/>
      <c r="O4" s="4"/>
      <c r="P4" s="4"/>
    </row>
    <row r="5" spans="1:1" x14ac:dyDescent="0.25">
      <c r="A5" s="2" t="s">
        <v>201</v>
      </c>
    </row>
    <row r="6" spans="1:1" x14ac:dyDescent="0.25">
      <c r="A6" s="2" t="s">
        <v>202</v>
      </c>
    </row>
    <row r="7" spans="1:16" x14ac:dyDescent="0.25">
      <c r="A7" s="8" t="s">
        <v>203</v>
      </c>
      <c r="B7" s="9" t="s">
        <v>204</v>
      </c>
      <c r="C7" s="9" t="s">
        <v>40</v>
      </c>
      <c r="D7" s="9" t="s">
        <v>41</v>
      </c>
      <c r="E7" s="9" t="s">
        <v>205</v>
      </c>
      <c r="F7" s="9" t="s">
        <v>206</v>
      </c>
      <c r="G7" s="9" t="s">
        <v>42</v>
      </c>
      <c r="H7" s="9" t="s">
        <v>207</v>
      </c>
      <c r="I7" s="9" t="s">
        <v>208</v>
      </c>
      <c r="J7" s="9" t="s">
        <v>209</v>
      </c>
      <c r="K7" s="9" t="s">
        <v>210</v>
      </c>
      <c r="L7" s="9" t="s">
        <v>211</v>
      </c>
      <c r="M7" s="9" t="s">
        <v>212</v>
      </c>
      <c r="N7" s="9" t="s">
        <v>213</v>
      </c>
      <c r="O7" s="9" t="s">
        <v>214</v>
      </c>
      <c r="P7" s="9" t="s">
        <v>215</v>
      </c>
    </row>
    <row r="8" spans="1:16" x14ac:dyDescent="0.25">
      <c r="A8" s="30" t="s">
        <v>216</v>
      </c>
      <c r="B8" t="s">
        <v>217</v>
      </c>
      <c r="C8" s="31">
        <v>38.77236693091733</v>
      </c>
      <c r="D8" s="30" t="s">
        <v>7</v>
      </c>
      <c r="E8" s="30" t="s">
        <v>7</v>
      </c>
      <c r="F8" s="30" t="s">
        <v>7</v>
      </c>
      <c r="G8" s="31">
        <v>3.7550178779037884</v>
      </c>
      <c r="H8" s="32">
        <v>3.6324336955251777</v>
      </c>
      <c r="I8" s="32">
        <v>1.16</v>
      </c>
      <c r="J8" s="30" t="s">
        <v>7</v>
      </c>
      <c r="K8" s="32">
        <v>9.684778555289885</v>
      </c>
      <c r="L8" s="32">
        <v>17.68367097876495</v>
      </c>
      <c r="M8" s="32">
        <v>75.8847937515255</v>
      </c>
      <c r="N8" s="32">
        <v>140.83805209513022</v>
      </c>
      <c r="O8" s="30" t="s">
        <v>7</v>
      </c>
      <c r="P8" s="31">
        <v>6.567839195979899</v>
      </c>
    </row>
    <row r="9" spans="1:16" x14ac:dyDescent="0.25">
      <c r="A9" t="s">
        <v>218</v>
      </c>
      <c r="B9" t="s">
        <v>219</v>
      </c>
      <c r="C9" s="15">
        <v>23.722758620689657</v>
      </c>
      <c r="D9" t="s">
        <v>7</v>
      </c>
      <c r="E9" t="s">
        <v>7</v>
      </c>
      <c r="F9" t="s">
        <v>7</v>
      </c>
      <c r="G9" s="15">
        <v>2.4037735849056605</v>
      </c>
      <c r="H9" s="18">
        <v>-10.907610907610907</v>
      </c>
      <c r="I9" s="18">
        <v>0.38</v>
      </c>
      <c r="J9" t="s">
        <v>7</v>
      </c>
      <c r="K9" s="18">
        <v>10.13277428371768</v>
      </c>
      <c r="L9" s="18">
        <v>25.153589608565913</v>
      </c>
      <c r="M9" s="18">
        <v>-32.929612076531505</v>
      </c>
      <c r="N9" s="18">
        <v>-258.7586206896552</v>
      </c>
      <c r="O9" t="s">
        <v>7</v>
      </c>
      <c r="P9" s="15">
        <v>2.740831295843521</v>
      </c>
    </row>
    <row r="10" spans="1:16" x14ac:dyDescent="0.25">
      <c r="A10" t="s">
        <v>220</v>
      </c>
      <c r="B10" t="s">
        <v>221</v>
      </c>
      <c r="C10" s="15">
        <v>25.655621944595328</v>
      </c>
      <c r="D10" t="s">
        <v>7</v>
      </c>
      <c r="E10" t="s">
        <v>7</v>
      </c>
      <c r="F10" t="s">
        <v>7</v>
      </c>
      <c r="G10" s="15">
        <v>2.4397954439795444</v>
      </c>
      <c r="H10" s="18">
        <v>-5.100355691056911</v>
      </c>
      <c r="I10" s="18">
        <v>0.64</v>
      </c>
      <c r="J10" t="s">
        <v>7</v>
      </c>
      <c r="K10" s="18">
        <v>9.50978872875665</v>
      </c>
      <c r="L10" t="s">
        <v>222</v>
      </c>
      <c r="M10" s="18">
        <v>-46.9499122977977</v>
      </c>
      <c r="N10" s="18">
        <v>-130.85279739272136</v>
      </c>
      <c r="O10" t="s">
        <v>7</v>
      </c>
      <c r="P10" s="15">
        <v>-4.153284671532846</v>
      </c>
    </row>
    <row r="11" spans="1:16" x14ac:dyDescent="0.25">
      <c r="A11" t="s">
        <v>223</v>
      </c>
      <c r="B11" t="s">
        <v>221</v>
      </c>
      <c r="C11" s="15">
        <v>30.20751967356456</v>
      </c>
      <c r="D11" t="s">
        <v>7</v>
      </c>
      <c r="E11" t="s">
        <v>7</v>
      </c>
      <c r="F11" t="s">
        <v>7</v>
      </c>
      <c r="G11" s="15">
        <v>4.098627753391071</v>
      </c>
      <c r="H11" s="18">
        <v>0.6840856023619768</v>
      </c>
      <c r="I11" s="18">
        <v>0.41</v>
      </c>
      <c r="J11" t="s">
        <v>7</v>
      </c>
      <c r="K11" s="18">
        <v>13.568236643334519</v>
      </c>
      <c r="L11" s="18">
        <v>29.52146797793236</v>
      </c>
      <c r="M11" s="18">
        <v>4.251619093307748</v>
      </c>
      <c r="N11" s="18">
        <v>20.664529291751677</v>
      </c>
      <c r="O11" t="s">
        <v>7</v>
      </c>
      <c r="P11" s="15">
        <v>6.946889226100152</v>
      </c>
    </row>
    <row r="12" spans="1:16" x14ac:dyDescent="0.25">
      <c r="A12" t="s">
        <v>224</v>
      </c>
      <c r="B12" t="s">
        <v>221</v>
      </c>
      <c r="C12" s="15">
        <v>23.87993617869964</v>
      </c>
      <c r="D12" t="s">
        <v>7</v>
      </c>
      <c r="E12" t="s">
        <v>7</v>
      </c>
      <c r="F12" t="s">
        <v>7</v>
      </c>
      <c r="G12" s="15">
        <v>3.1360398114195913</v>
      </c>
      <c r="H12" s="18">
        <v>1.2410844037616717</v>
      </c>
      <c r="I12" s="18">
        <v>0.49</v>
      </c>
      <c r="J12" t="s">
        <v>7</v>
      </c>
      <c r="K12" s="18">
        <v>13.132530120481928</v>
      </c>
      <c r="L12" t="s">
        <v>225</v>
      </c>
      <c r="M12" s="18">
        <v>12.364786154102179</v>
      </c>
      <c r="N12" s="18">
        <v>29.637016354208217</v>
      </c>
      <c r="O12" t="s">
        <v>7</v>
      </c>
      <c r="P12" s="15">
        <v>13.394190871369295</v>
      </c>
    </row>
    <row r="13" spans="1:16" x14ac:dyDescent="0.25">
      <c r="A13" t="s">
        <v>226</v>
      </c>
      <c r="B13" t="s">
        <v>221</v>
      </c>
      <c r="C13" t="s">
        <v>227</v>
      </c>
      <c r="D13" s="15">
        <v>21.08773354995938</v>
      </c>
      <c r="E13" s="15">
        <v>27.942949407965553</v>
      </c>
      <c r="F13" s="15">
        <v>6.139298383918013</v>
      </c>
      <c r="G13" s="15">
        <v>3.8467399987709703</v>
      </c>
      <c r="H13" s="18">
        <v>0.5431483433975527</v>
      </c>
      <c r="I13" t="s">
        <v>228</v>
      </c>
      <c r="J13" s="18">
        <v>6.713108519269777</v>
      </c>
      <c r="K13" s="18">
        <v>8.019418668960855</v>
      </c>
      <c r="L13" s="18">
        <v>29.113125739061886</v>
      </c>
      <c r="M13" s="18">
        <v>2.6803310997240835</v>
      </c>
      <c r="N13" s="18">
        <v>26.053639846743295</v>
      </c>
      <c r="O13" s="15">
        <v>4.1372867587327375</v>
      </c>
      <c r="P13" s="15">
        <v>1.761694058154235</v>
      </c>
    </row>
    <row r="14" spans="1:16" x14ac:dyDescent="0.25">
      <c r="A14" s="5" t="s">
        <v>38</v>
      </c>
      <c r="C14" s="16">
        <f>MEDIAN(C9:C13)</f>
        <v>24.767779061647484</v>
      </c>
      <c r="D14" t="s">
        <v>7</v>
      </c>
      <c r="E14" t="s">
        <v>7</v>
      </c>
      <c r="F14" t="s">
        <v>7</v>
      </c>
      <c r="G14" s="16">
        <f>MEDIAN(G9:G13)</f>
        <v>3.1360398114195913</v>
      </c>
      <c r="H14" s="19">
        <f>MEDIAN(H9:H13)</f>
        <v>0.5431483433975527</v>
      </c>
      <c r="I14" s="19">
        <f>MEDIAN(I9:I13)</f>
        <v>0.44999999999999996</v>
      </c>
      <c r="J14" t="s">
        <v>7</v>
      </c>
      <c r="K14" s="19">
        <f>MEDIAN(K9:K13)</f>
        <v>10.13277428371768</v>
      </c>
      <c r="L14" s="19">
        <f>MEDIAN(L9:L13)</f>
        <v>29.113125739061886</v>
      </c>
      <c r="M14" s="19">
        <f>MEDIAN(M9:M13)</f>
        <v>2.6803310997240835</v>
      </c>
      <c r="N14" s="19">
        <f>MEDIAN(N9:N13)</f>
        <v>20.664529291751677</v>
      </c>
      <c r="O14" t="s">
        <v>7</v>
      </c>
      <c r="P14" s="16">
        <f>MEDIAN(P9:P13)</f>
        <v>2.740831295843521</v>
      </c>
    </row>
    <row r="15" spans="1:16" x14ac:dyDescent="0.25">
      <c r="A15" t="s">
        <v>229</v>
      </c>
      <c r="C15" s="15">
        <f>QUARTILE(C9:C13,1)</f>
        <v>23.840641789197143</v>
      </c>
      <c r="D15" t="s">
        <v>7</v>
      </c>
      <c r="E15" t="s">
        <v>7</v>
      </c>
      <c r="F15" t="s">
        <v>7</v>
      </c>
      <c r="G15" s="15">
        <f>QUARTILE(G9:G13,1)</f>
        <v>2.4397954439795444</v>
      </c>
      <c r="H15" s="18">
        <f>QUARTILE(H9:H13,1)</f>
        <v>-5.100355691056911</v>
      </c>
      <c r="I15" s="18">
        <f>QUARTILE(I9:I13,1)</f>
        <v>0.40249999999999997</v>
      </c>
      <c r="J15" t="s">
        <v>7</v>
      </c>
      <c r="K15" s="18">
        <f>QUARTILE(K9:K13,1)</f>
        <v>9.50978872875665</v>
      </c>
      <c r="L15" s="18">
        <f>QUARTILE(L9:L13,1)</f>
        <v>27.133357673813897</v>
      </c>
      <c r="M15" s="18">
        <f>QUARTILE(M9:M13,1)</f>
        <v>-32.929612076531505</v>
      </c>
      <c r="N15" s="18">
        <f>QUARTILE(N9:N13,1)</f>
        <v>-130.85279739272136</v>
      </c>
      <c r="O15" t="s">
        <v>7</v>
      </c>
      <c r="P15" s="15">
        <f>QUARTILE(P9:P13,1)</f>
        <v>1.761694058154235</v>
      </c>
    </row>
    <row r="16" spans="1:16" x14ac:dyDescent="0.25">
      <c r="A16" t="s">
        <v>230</v>
      </c>
      <c r="C16" s="15">
        <f>QUARTILE(C9:C13,3)</f>
        <v>26.793596376837634</v>
      </c>
      <c r="D16" t="s">
        <v>7</v>
      </c>
      <c r="E16" t="s">
        <v>7</v>
      </c>
      <c r="F16" t="s">
        <v>7</v>
      </c>
      <c r="G16" s="15">
        <f>QUARTILE(G9:G13,3)</f>
        <v>3.8467399987709703</v>
      </c>
      <c r="H16" s="18">
        <f>QUARTILE(H9:H13,3)</f>
        <v>0.6840856023619768</v>
      </c>
      <c r="I16" s="18">
        <f>QUARTILE(I9:I13,3)</f>
        <v>0.5275</v>
      </c>
      <c r="J16" t="s">
        <v>7</v>
      </c>
      <c r="K16" s="18">
        <f>QUARTILE(K9:K13,3)</f>
        <v>13.132530120481928</v>
      </c>
      <c r="L16" s="18">
        <f>QUARTILE(L9:L13,3)</f>
        <v>29.317296858497123</v>
      </c>
      <c r="M16" s="18">
        <f>QUARTILE(M9:M13,3)</f>
        <v>4.251619093307748</v>
      </c>
      <c r="N16" s="18">
        <f>QUARTILE(N9:N13,3)</f>
        <v>26.053639846743295</v>
      </c>
      <c r="O16" t="s">
        <v>7</v>
      </c>
      <c r="P16" s="15">
        <f>QUARTILE(P9:P13,3)</f>
        <v>6.946889226100152</v>
      </c>
    </row>
    <row r="17" spans="1:16" x14ac:dyDescent="0.25">
      <c r="A17" t="s">
        <v>231</v>
      </c>
      <c r="C17" s="15">
        <f>AVERAGE(C9:C13)</f>
        <v>25.866459104387296</v>
      </c>
      <c r="D17" t="s">
        <v>7</v>
      </c>
      <c r="E17" t="s">
        <v>7</v>
      </c>
      <c r="F17" t="s">
        <v>7</v>
      </c>
      <c r="G17" s="15">
        <f>AVERAGE(G9:G13)</f>
        <v>3.1849953184933675</v>
      </c>
      <c r="H17" s="18">
        <f>AVERAGE(H9:H13)</f>
        <v>-2.7079296498293233</v>
      </c>
      <c r="I17" s="18">
        <f>AVERAGE(I9:I13)</f>
        <v>0.48</v>
      </c>
      <c r="J17" t="s">
        <v>7</v>
      </c>
      <c r="K17" s="18">
        <f>AVERAGE(K9:K13)</f>
        <v>10.872549689050325</v>
      </c>
      <c r="L17" s="18">
        <f>AVERAGE(L9:L13)</f>
        <v>27.929394441853386</v>
      </c>
      <c r="M17" s="18">
        <f>AVERAGE(M9:M13)</f>
        <v>-12.116557605439038</v>
      </c>
      <c r="N17" s="18">
        <f>AVERAGE(N9:N13)</f>
        <v>-62.65124651793466</v>
      </c>
      <c r="O17" t="s">
        <v>7</v>
      </c>
      <c r="P17" s="15">
        <f>AVERAGE(P9:P13)</f>
        <v>4.138064155986871</v>
      </c>
    </row>
    <row r="18" spans="1:16" x14ac:dyDescent="0.25">
      <c r="A18" t="s">
        <v>232</v>
      </c>
      <c r="C18" s="17">
        <f>COUNT(C9:C13)</f>
        <v>4</v>
      </c>
      <c r="D18" s="17">
        <f>COUNT(D9:D13)</f>
        <v>1</v>
      </c>
      <c r="E18" s="17">
        <f>COUNT(E9:E13)</f>
        <v>1</v>
      </c>
      <c r="F18" s="17">
        <f>COUNT(F9:F13)</f>
        <v>1</v>
      </c>
      <c r="G18" s="17">
        <f>COUNT(G9:G13)</f>
        <v>5</v>
      </c>
      <c r="H18" s="17">
        <f>COUNT(H9:H13)</f>
        <v>5</v>
      </c>
      <c r="I18" s="17">
        <f>COUNT(I9:I13)</f>
        <v>4</v>
      </c>
      <c r="J18" s="17">
        <f>COUNT(J9:J13)</f>
        <v>1</v>
      </c>
      <c r="K18" s="17">
        <f>COUNT(K9:K13)</f>
        <v>5</v>
      </c>
      <c r="L18" s="17">
        <f>COUNT(L9:L13)</f>
        <v>3</v>
      </c>
      <c r="M18" s="17">
        <f>COUNT(M9:M13)</f>
        <v>5</v>
      </c>
      <c r="N18" s="17">
        <f>COUNT(N9:N13)</f>
        <v>5</v>
      </c>
      <c r="O18" s="17">
        <f>COUNT(O9:O13)</f>
        <v>1</v>
      </c>
      <c r="P18" s="17">
        <f>COUNT(P9:P13)</f>
        <v>5</v>
      </c>
    </row>
    <row r="19" spans="1:16" x14ac:dyDescent="0.25">
      <c r="A19" t="s">
        <v>233</v>
      </c>
      <c r="C19" t="s">
        <v>234</v>
      </c>
      <c r="D19" t="s">
        <v>235</v>
      </c>
      <c r="E19" t="s">
        <v>235</v>
      </c>
      <c r="F19" t="s">
        <v>235</v>
      </c>
      <c r="G19" t="s">
        <v>236</v>
      </c>
      <c r="H19" t="s">
        <v>236</v>
      </c>
      <c r="I19" t="s">
        <v>234</v>
      </c>
      <c r="J19" t="s">
        <v>235</v>
      </c>
      <c r="K19" t="s">
        <v>236</v>
      </c>
      <c r="L19" t="s">
        <v>234</v>
      </c>
      <c r="M19" t="s">
        <v>236</v>
      </c>
      <c r="N19" t="s">
        <v>236</v>
      </c>
      <c r="O19" t="s">
        <v>235</v>
      </c>
      <c r="P19" t="s">
        <v>236</v>
      </c>
    </row>
    <row r="20" spans="1:16" x14ac:dyDescent="0.25">
      <c r="A20" s="5" t="s">
        <v>237</v>
      </c>
      <c r="C20" s="33">
        <f>C8/C14-1</f>
        <v>0.5654357556409138</v>
      </c>
      <c r="D20" t="s">
        <v>7</v>
      </c>
      <c r="E20" t="s">
        <v>7</v>
      </c>
      <c r="F20" t="s">
        <v>7</v>
      </c>
      <c r="G20" s="33">
        <f>G8/G14-1</f>
        <v>0.19737570429758167</v>
      </c>
      <c r="H20" s="33">
        <f>H8/H14-1</f>
        <v>5.687737778602502</v>
      </c>
      <c r="I20" s="33">
        <f>I8/I14-1</f>
        <v>1.577777777777778</v>
      </c>
      <c r="J20" t="s">
        <v>7</v>
      </c>
      <c r="K20" s="33">
        <f>K8/K14-1</f>
        <v>-0.04421254395725338</v>
      </c>
      <c r="L20" s="33">
        <f>L8/L14-1</f>
        <v>-0.392587689234678</v>
      </c>
      <c r="M20" s="33">
        <f>M8/M14-1</f>
        <v>27.31172378641474</v>
      </c>
      <c r="N20" s="33">
        <f>N8/N14-1</f>
        <v>5.815449319300307</v>
      </c>
      <c r="O20" t="s">
        <v>7</v>
      </c>
      <c r="P20" s="33">
        <f>P8/P14-1</f>
        <v>1.396294586222818</v>
      </c>
    </row>
    <row r="21" spans="1:1" x14ac:dyDescent="0.25">
      <c r="A21" s="2" t="s">
        <v>238</v>
      </c>
    </row>
    <row r="23" spans="1:1" x14ac:dyDescent="0.25">
      <c r="A23" s="2" t="s">
        <v>239</v>
      </c>
    </row>
    <row r="24" spans="1:1" x14ac:dyDescent="0.25">
      <c r="A24" s="2" t="s">
        <v>240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FormatPr defaultRowHeight="15" outlineLevelRow="0" outlineLevelCol="0" x14ac:dyDescent="55"/>
  <cols>
    <col min="1" max="1" width="52" customWidth="1"/>
    <col min="2" max="9" width="16" customWidth="1"/>
  </cols>
  <sheetData>
    <row r="1" spans="1:1" x14ac:dyDescent="0.25">
      <c r="A1" s="1" t="s">
        <v>241</v>
      </c>
    </row>
    <row r="2" spans="1:1" x14ac:dyDescent="0.25">
      <c r="A2" s="2" t="s">
        <v>242</v>
      </c>
    </row>
    <row r="4" spans="1:8" x14ac:dyDescent="0.25">
      <c r="A4" s="3" t="s">
        <v>243</v>
      </c>
      <c r="B4" s="4"/>
      <c r="C4" s="4"/>
      <c r="D4" s="4"/>
      <c r="E4" s="4"/>
      <c r="F4" s="4"/>
      <c r="G4" s="4"/>
      <c r="H4" s="4"/>
    </row>
    <row r="5" spans="1:1" x14ac:dyDescent="0.25">
      <c r="A5" t="s">
        <v>244</v>
      </c>
    </row>
    <row r="6" spans="1:2" x14ac:dyDescent="0.25">
      <c r="A6" t="s">
        <v>245</v>
      </c>
      <c r="B6" s="34">
        <v>14.43</v>
      </c>
    </row>
    <row r="7" spans="1:2" x14ac:dyDescent="0.25">
      <c r="A7" t="s">
        <v>246</v>
      </c>
      <c r="B7" s="34">
        <v>6.95</v>
      </c>
    </row>
    <row r="8" spans="1:2" x14ac:dyDescent="0.25">
      <c r="A8" t="s">
        <v>247</v>
      </c>
      <c r="B8" s="35">
        <v>1.36</v>
      </c>
    </row>
    <row r="9" spans="1:2" x14ac:dyDescent="0.25">
      <c r="A9" t="s">
        <v>248</v>
      </c>
      <c r="B9" s="34">
        <v>5.5</v>
      </c>
    </row>
    <row r="10" spans="1:2" x14ac:dyDescent="0.25">
      <c r="A10" t="s">
        <v>249</v>
      </c>
      <c r="B10" s="34">
        <v>14.43</v>
      </c>
    </row>
    <row r="11" spans="1:2" x14ac:dyDescent="0.25">
      <c r="A11" t="s">
        <v>250</v>
      </c>
      <c r="B11" s="34">
        <v>5.99</v>
      </c>
    </row>
    <row r="12" spans="1:2" x14ac:dyDescent="0.25">
      <c r="A12" t="s">
        <v>251</v>
      </c>
      <c r="B12" t="s">
        <v>7</v>
      </c>
    </row>
    <row r="13" spans="1:1" x14ac:dyDescent="0.25">
      <c r="A13" s="2" t="s">
        <v>252</v>
      </c>
    </row>
    <row r="15" spans="1:8" x14ac:dyDescent="0.25">
      <c r="A15" s="3" t="s">
        <v>253</v>
      </c>
      <c r="B15" s="4"/>
      <c r="C15" s="4"/>
      <c r="D15" s="4"/>
      <c r="E15" s="4"/>
      <c r="F15" s="4"/>
      <c r="G15" s="4"/>
      <c r="H15" s="4"/>
    </row>
    <row r="16" spans="1:1" x14ac:dyDescent="0.25">
      <c r="A16" s="2" t="s">
        <v>254</v>
      </c>
    </row>
    <row r="18" spans="1:8" x14ac:dyDescent="0.25">
      <c r="A18" s="3" t="s">
        <v>255</v>
      </c>
      <c r="B18" s="4"/>
      <c r="C18" s="4"/>
      <c r="D18" s="4"/>
      <c r="E18" s="4"/>
      <c r="F18" s="4"/>
      <c r="G18" s="4"/>
      <c r="H18" s="4"/>
    </row>
    <row r="19" spans="1:1" x14ac:dyDescent="0.25">
      <c r="A19" s="2" t="s">
        <v>256</v>
      </c>
    </row>
    <row r="20" spans="1:1" x14ac:dyDescent="0.25">
      <c r="A20" s="2" t="s">
        <v>257</v>
      </c>
    </row>
    <row r="21" spans="1:1" x14ac:dyDescent="0.25">
      <c r="A21" s="2" t="s">
        <v>258</v>
      </c>
    </row>
    <row r="22" spans="1:1" x14ac:dyDescent="0.25">
      <c r="A22" s="2" t="s">
        <v>259</v>
      </c>
    </row>
    <row r="23" spans="1:1" x14ac:dyDescent="0.25">
      <c r="A23" s="2" t="s">
        <v>260</v>
      </c>
    </row>
    <row r="24" spans="1:1" x14ac:dyDescent="0.25">
      <c r="A24" s="2" t="s">
        <v>261</v>
      </c>
    </row>
    <row r="25" spans="1:1" x14ac:dyDescent="0.25">
      <c r="A25" s="2" t="s">
        <v>262</v>
      </c>
    </row>
    <row r="26" spans="1:1" x14ac:dyDescent="0.25">
      <c r="A26" s="2" t="s">
        <v>263</v>
      </c>
    </row>
    <row r="27" spans="1:1" x14ac:dyDescent="0.25">
      <c r="A27" s="2" t="s">
        <v>264</v>
      </c>
    </row>
    <row r="29" spans="1:8" x14ac:dyDescent="0.25">
      <c r="A29" s="3" t="s">
        <v>265</v>
      </c>
      <c r="B29" s="4"/>
      <c r="C29" s="4"/>
      <c r="D29" s="4"/>
      <c r="E29" s="4"/>
      <c r="F29" s="4"/>
      <c r="G29" s="4"/>
      <c r="H29" s="4"/>
    </row>
    <row r="30" spans="1:2" x14ac:dyDescent="0.25">
      <c r="A30" s="5" t="s">
        <v>266</v>
      </c>
      <c r="B30" t="s">
        <v>267</v>
      </c>
    </row>
    <row r="31" spans="1:2" x14ac:dyDescent="0.25">
      <c r="A31" s="5" t="s">
        <v>268</v>
      </c>
      <c r="B31" t="s">
        <v>269</v>
      </c>
    </row>
    <row r="32" spans="1:2" x14ac:dyDescent="0.25">
      <c r="A32" s="5" t="s">
        <v>270</v>
      </c>
      <c r="B32" t="s">
        <v>271</v>
      </c>
    </row>
    <row r="33" spans="1:2" x14ac:dyDescent="0.25">
      <c r="A33" s="5" t="s">
        <v>272</v>
      </c>
      <c r="B33" t="s">
        <v>273</v>
      </c>
    </row>
    <row r="34" spans="1:2" x14ac:dyDescent="0.25">
      <c r="A34" s="5" t="s">
        <v>274</v>
      </c>
      <c r="B34" t="s">
        <v>275</v>
      </c>
    </row>
    <row r="35" spans="1:2" x14ac:dyDescent="0.25">
      <c r="A35" s="5" t="s">
        <v>76</v>
      </c>
      <c r="B35" t="s">
        <v>276</v>
      </c>
    </row>
    <row r="36" spans="1:2" x14ac:dyDescent="0.25">
      <c r="A36" s="5" t="s">
        <v>277</v>
      </c>
      <c r="B36" t="s">
        <v>278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x14ac:dyDescent="0.25">
      <c r="A1" s="1" t="s">
        <v>279</v>
      </c>
    </row>
    <row r="2" spans="1:1" x14ac:dyDescent="0.25">
      <c r="A2" s="2" t="s">
        <v>280</v>
      </c>
    </row>
    <row r="4" spans="1:1" x14ac:dyDescent="0.25">
      <c r="A4" s="5" t="s">
        <v>281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workbookViewId="0">
      <pane xSplit="1" ySplit="3" topLeftCell="B4" activePane="bottomRight" state="frozen"/>
      <selection pane="bottomRight"/>
    </sheetView>
  </sheetViews>
  <sheetFormatPr defaultRowHeight="15" outlineLevelRow="0" outlineLevelCol="0" x14ac:dyDescent="55"/>
  <cols>
    <col min="1" max="1" width="60" customWidth="1"/>
    <col min="2" max="12" width="14" customWidth="1"/>
  </cols>
  <sheetData>
    <row r="1" spans="1:1" x14ac:dyDescent="0.25">
      <c r="A1" s="1" t="s">
        <v>282</v>
      </c>
    </row>
    <row r="2" spans="1:1" x14ac:dyDescent="0.25">
      <c r="A2" s="2" t="s">
        <v>283</v>
      </c>
    </row>
    <row r="4" spans="1:10" x14ac:dyDescent="0.25">
      <c r="A4" s="3" t="s">
        <v>284</v>
      </c>
      <c r="B4" s="4"/>
      <c r="C4" s="4"/>
      <c r="D4" s="4"/>
      <c r="E4" s="4"/>
      <c r="F4" s="4"/>
      <c r="G4" s="4"/>
      <c r="H4" s="4"/>
      <c r="I4" s="4"/>
      <c r="J4" s="4"/>
    </row>
    <row r="5" spans="1:10" x14ac:dyDescent="0.25">
      <c r="A5" s="8" t="s">
        <v>285</v>
      </c>
      <c r="B5" s="9" t="s">
        <v>16</v>
      </c>
      <c r="C5" s="9" t="s">
        <v>17</v>
      </c>
      <c r="D5" s="9" t="s">
        <v>18</v>
      </c>
      <c r="E5" s="9" t="s">
        <v>19</v>
      </c>
      <c r="F5" s="9" t="s">
        <v>20</v>
      </c>
      <c r="G5" s="9" t="s">
        <v>21</v>
      </c>
      <c r="H5" s="9" t="s">
        <v>22</v>
      </c>
      <c r="I5" s="9" t="s">
        <v>23</v>
      </c>
      <c r="J5" s="9" t="s">
        <v>24</v>
      </c>
    </row>
    <row r="6" spans="1:10" x14ac:dyDescent="0.25">
      <c r="A6" t="s">
        <v>286</v>
      </c>
      <c r="B6" s="12">
        <f>'Income Statement'!B5/'Income Statement'!B5</f>
        <v>1</v>
      </c>
      <c r="C6" s="12">
        <f>'Income Statement'!C5/'Income Statement'!C5</f>
        <v>1</v>
      </c>
      <c r="D6" s="12">
        <f>'Income Statement'!D5/'Income Statement'!D5</f>
        <v>1</v>
      </c>
      <c r="E6" s="12">
        <f>'Income Statement'!E5/'Income Statement'!E5</f>
        <v>1</v>
      </c>
      <c r="F6" t="s">
        <v>7</v>
      </c>
      <c r="G6" t="s">
        <v>7</v>
      </c>
      <c r="H6" t="s">
        <v>7</v>
      </c>
      <c r="I6" t="s">
        <v>7</v>
      </c>
      <c r="J6" t="s">
        <v>7</v>
      </c>
    </row>
    <row r="7" spans="1:10" x14ac:dyDescent="0.25">
      <c r="A7" t="s">
        <v>287</v>
      </c>
      <c r="B7" t="s">
        <v>7</v>
      </c>
      <c r="C7" t="s">
        <v>7</v>
      </c>
      <c r="D7" t="s">
        <v>7</v>
      </c>
      <c r="E7" t="s">
        <v>7</v>
      </c>
      <c r="F7" t="s">
        <v>7</v>
      </c>
      <c r="G7" t="s">
        <v>7</v>
      </c>
      <c r="H7" t="s">
        <v>7</v>
      </c>
      <c r="I7" t="s">
        <v>7</v>
      </c>
      <c r="J7" t="s">
        <v>7</v>
      </c>
    </row>
    <row r="8" spans="1:10" x14ac:dyDescent="0.25">
      <c r="A8" t="s">
        <v>288</v>
      </c>
      <c r="B8" t="s">
        <v>7</v>
      </c>
      <c r="C8" t="s">
        <v>7</v>
      </c>
      <c r="D8" t="s">
        <v>7</v>
      </c>
      <c r="E8" t="s">
        <v>7</v>
      </c>
      <c r="F8" t="s">
        <v>7</v>
      </c>
      <c r="G8" t="s">
        <v>7</v>
      </c>
      <c r="H8" t="s">
        <v>7</v>
      </c>
      <c r="I8" t="s">
        <v>7</v>
      </c>
      <c r="J8" t="s">
        <v>7</v>
      </c>
    </row>
    <row r="9" spans="1:10" x14ac:dyDescent="0.25">
      <c r="A9" t="s">
        <v>93</v>
      </c>
      <c r="B9" s="12">
        <f>'Income Statement'!B9/'Income Statement'!B5</f>
        <v>0.6969271290605794</v>
      </c>
      <c r="C9" s="12">
        <f>'Income Statement'!C9/'Income Statement'!C5</f>
        <v>0.6695192158083086</v>
      </c>
      <c r="D9" s="12">
        <f>'Income Statement'!D9/'Income Statement'!D5</f>
        <v>0.7361771328496373</v>
      </c>
      <c r="E9" s="12">
        <f>'Income Statement'!E9/'Income Statement'!E5</f>
        <v>0.8231632902123505</v>
      </c>
      <c r="F9" t="s">
        <v>7</v>
      </c>
      <c r="G9" t="s">
        <v>7</v>
      </c>
      <c r="H9" t="s">
        <v>7</v>
      </c>
      <c r="I9" t="s">
        <v>7</v>
      </c>
      <c r="J9" t="s">
        <v>7</v>
      </c>
    </row>
    <row r="10" spans="1:10" x14ac:dyDescent="0.25">
      <c r="A10" t="s">
        <v>27</v>
      </c>
      <c r="B10" s="12">
        <f>'Income Statement'!B10/'Income Statement'!B5</f>
        <v>0.30307287093942054</v>
      </c>
      <c r="C10" s="12">
        <f>'Income Statement'!C10/'Income Statement'!C5</f>
        <v>0.3304807841916913</v>
      </c>
      <c r="D10" s="12">
        <f>'Income Statement'!D10/'Income Statement'!D5</f>
        <v>0.2638228671503628</v>
      </c>
      <c r="E10" s="12">
        <f>'Income Statement'!E10/'Income Statement'!E5</f>
        <v>0.1768367097876495</v>
      </c>
      <c r="F10" t="s">
        <v>7</v>
      </c>
      <c r="G10" t="s">
        <v>7</v>
      </c>
      <c r="H10" t="s">
        <v>7</v>
      </c>
      <c r="I10" t="s">
        <v>7</v>
      </c>
      <c r="J10" t="s">
        <v>7</v>
      </c>
    </row>
    <row r="11" spans="1:10" x14ac:dyDescent="0.25">
      <c r="A11" t="s">
        <v>289</v>
      </c>
      <c r="B11" s="12">
        <f>'Income Statement'!B12/'Income Statement'!B5</f>
        <v>0.026163301141352062</v>
      </c>
      <c r="C11" s="12">
        <f>'Income Statement'!C12/'Income Statement'!C5</f>
        <v>0.023027851252528396</v>
      </c>
      <c r="D11" s="12">
        <f>'Income Statement'!D12/'Income Statement'!D5</f>
        <v>0.018889166875156366</v>
      </c>
      <c r="E11" s="12">
        <f>'Income Statement'!E12/'Income Statement'!E5</f>
        <v>0.017329753478154748</v>
      </c>
      <c r="F11" t="s">
        <v>7</v>
      </c>
      <c r="G11" t="s">
        <v>7</v>
      </c>
      <c r="H11" t="s">
        <v>7</v>
      </c>
      <c r="I11" t="s">
        <v>7</v>
      </c>
      <c r="J11" t="s">
        <v>7</v>
      </c>
    </row>
    <row r="12" spans="1:10" x14ac:dyDescent="0.25">
      <c r="A12" t="s">
        <v>290</v>
      </c>
      <c r="B12" s="12">
        <f>'Income Statement'!B13/'Income Statement'!B5</f>
        <v>0.27690956979806847</v>
      </c>
      <c r="C12" s="12">
        <f>'Income Statement'!C13/'Income Statement'!C5</f>
        <v>0.3074529329391629</v>
      </c>
      <c r="D12" s="12">
        <f>'Income Statement'!D13/'Income Statement'!D5</f>
        <v>0.24493370027520642</v>
      </c>
      <c r="E12" s="12">
        <f>'Income Statement'!E13/'Income Statement'!E5</f>
        <v>0.15950695630949474</v>
      </c>
      <c r="F12" t="s">
        <v>7</v>
      </c>
      <c r="G12" t="s">
        <v>7</v>
      </c>
      <c r="H12" t="s">
        <v>7</v>
      </c>
      <c r="I12" t="s">
        <v>7</v>
      </c>
      <c r="J12" t="s">
        <v>7</v>
      </c>
    </row>
    <row r="13" spans="1:10" x14ac:dyDescent="0.25">
      <c r="A13" t="s">
        <v>291</v>
      </c>
      <c r="B13" s="12">
        <f>'Income Statement'!B15/'Income Statement'!B5</f>
        <v>0.055662862159789286</v>
      </c>
      <c r="C13" s="12">
        <f>'Income Statement'!C15/'Income Statement'!C5</f>
        <v>0.08262019604792283</v>
      </c>
      <c r="D13" s="12">
        <f>'Income Statement'!D15/'Income Statement'!D5</f>
        <v>0.08756567425569177</v>
      </c>
      <c r="E13" s="12">
        <f>'Income Statement'!E15/'Income Statement'!E5</f>
        <v>0.22272394434952406</v>
      </c>
      <c r="F13" t="s">
        <v>7</v>
      </c>
      <c r="G13" t="s">
        <v>7</v>
      </c>
      <c r="H13" t="s">
        <v>7</v>
      </c>
      <c r="I13" t="s">
        <v>7</v>
      </c>
      <c r="J13" t="s">
        <v>7</v>
      </c>
    </row>
    <row r="14" spans="1:10" x14ac:dyDescent="0.25">
      <c r="A14" t="s">
        <v>292</v>
      </c>
      <c r="B14" s="12">
        <f>'Income Statement'!B16/'Income Statement'!B5</f>
        <v>0.06883230904302019</v>
      </c>
      <c r="C14" s="12">
        <f>'Income Statement'!C16/'Income Statement'!C5</f>
        <v>0.05539131787770344</v>
      </c>
      <c r="D14" s="12">
        <f>'Income Statement'!D16/'Income Statement'!D5</f>
        <v>0.04966224668501376</v>
      </c>
      <c r="E14" s="12">
        <f>'Income Statement'!E16/'Income Statement'!E5</f>
        <v>0.024286062972907006</v>
      </c>
      <c r="F14" t="s">
        <v>7</v>
      </c>
      <c r="G14" t="s">
        <v>7</v>
      </c>
      <c r="H14" t="s">
        <v>7</v>
      </c>
      <c r="I14" t="s">
        <v>7</v>
      </c>
      <c r="J14" t="s">
        <v>7</v>
      </c>
    </row>
    <row r="15" spans="1:10" x14ac:dyDescent="0.25">
      <c r="A15" t="s">
        <v>102</v>
      </c>
      <c r="B15" s="12">
        <f>'Income Statement'!B18/'Income Statement'!B5</f>
        <v>0.26374012291483756</v>
      </c>
      <c r="C15" s="12">
        <f>'Income Statement'!C18/'Income Statement'!C5</f>
        <v>0.3346818111093823</v>
      </c>
      <c r="D15" s="12">
        <f>'Income Statement'!D18/'Income Statement'!D5</f>
        <v>0.28283712784588444</v>
      </c>
      <c r="E15" s="12">
        <f>'Income Statement'!E18/'Income Statement'!E5</f>
        <v>0.35782279716866</v>
      </c>
      <c r="F15" t="s">
        <v>7</v>
      </c>
      <c r="G15" t="s">
        <v>7</v>
      </c>
      <c r="H15" t="s">
        <v>7</v>
      </c>
      <c r="I15" t="s">
        <v>7</v>
      </c>
      <c r="J15" t="s">
        <v>7</v>
      </c>
    </row>
    <row r="16" spans="1:10" x14ac:dyDescent="0.25">
      <c r="A16" t="s">
        <v>293</v>
      </c>
      <c r="B16" s="12">
        <f>'Income Statement'!B19/'Income Statement'!B5</f>
        <v>0.07120280948200175</v>
      </c>
      <c r="C16" s="12">
        <f>'Income Statement'!C19/'Income Statement'!C5</f>
        <v>0.08031741092266999</v>
      </c>
      <c r="D16" s="12">
        <f>'Income Statement'!D19/'Income Statement'!D5</f>
        <v>-0.053740305228921696</v>
      </c>
      <c r="E16" s="12">
        <f>'Income Statement'!E19/'Income Statement'!E5</f>
        <v>0.03935806687820356</v>
      </c>
      <c r="F16" t="s">
        <v>7</v>
      </c>
      <c r="G16" t="s">
        <v>7</v>
      </c>
      <c r="H16" t="s">
        <v>7</v>
      </c>
      <c r="I16" t="s">
        <v>7</v>
      </c>
      <c r="J16" t="s">
        <v>7</v>
      </c>
    </row>
    <row r="17" spans="1:10" x14ac:dyDescent="0.25">
      <c r="A17" t="s">
        <v>29</v>
      </c>
      <c r="B17" s="12">
        <f>'Income Statement'!B20/'Income Statement'!B5</f>
        <v>0.3571553994732221</v>
      </c>
      <c r="C17" s="12">
        <f>'Income Statement'!C20/'Income Statement'!C5</f>
        <v>0.4238369379181578</v>
      </c>
      <c r="D17" s="12">
        <f>'Income Statement'!D20/'Income Statement'!D5</f>
        <v>0.5462847135351514</v>
      </c>
      <c r="E17" s="12">
        <f>'Income Statement'!E20/'Income Statement'!E5</f>
        <v>0.5388088845496705</v>
      </c>
      <c r="F17" t="s">
        <v>7</v>
      </c>
      <c r="G17" t="s">
        <v>7</v>
      </c>
      <c r="H17" t="s">
        <v>7</v>
      </c>
      <c r="I17" t="s">
        <v>7</v>
      </c>
      <c r="J17" t="s">
        <v>7</v>
      </c>
    </row>
    <row r="19" spans="1:10" x14ac:dyDescent="0.25">
      <c r="A19" s="3" t="s">
        <v>294</v>
      </c>
      <c r="B19" s="4"/>
      <c r="C19" s="4"/>
      <c r="D19" s="4"/>
      <c r="E19" s="4"/>
      <c r="F19" s="4"/>
      <c r="G19" s="4"/>
      <c r="H19" s="4"/>
      <c r="I19" s="4"/>
      <c r="J19" s="4"/>
    </row>
    <row r="20" spans="1:10" x14ac:dyDescent="0.25">
      <c r="A20" s="8" t="s">
        <v>295</v>
      </c>
      <c r="B20" s="9" t="s">
        <v>16</v>
      </c>
      <c r="C20" s="9" t="s">
        <v>17</v>
      </c>
      <c r="D20" s="9" t="s">
        <v>18</v>
      </c>
      <c r="E20" s="9" t="s">
        <v>19</v>
      </c>
      <c r="F20" s="9" t="s">
        <v>20</v>
      </c>
      <c r="G20" s="9" t="s">
        <v>21</v>
      </c>
      <c r="H20" s="9" t="s">
        <v>22</v>
      </c>
      <c r="I20" s="9" t="s">
        <v>23</v>
      </c>
      <c r="J20" s="9" t="s">
        <v>24</v>
      </c>
    </row>
    <row r="21" spans="1:10" x14ac:dyDescent="0.25">
      <c r="A21" t="s">
        <v>296</v>
      </c>
      <c r="B21" s="12">
        <f>'Balance Sheet'!B6/'Balance Sheet'!B18</f>
        <v>0.04327398615232443</v>
      </c>
      <c r="C21" s="12">
        <f>'Balance Sheet'!C6/'Balance Sheet'!C18</f>
        <v>0.07421828708798185</v>
      </c>
      <c r="D21" s="12">
        <f>'Balance Sheet'!D6/'Balance Sheet'!D18</f>
        <v>0.06335436382754994</v>
      </c>
      <c r="E21" s="12">
        <f>'Balance Sheet'!E6/'Balance Sheet'!E18</f>
        <v>0.1054379636561628</v>
      </c>
      <c r="F21" t="s">
        <v>7</v>
      </c>
      <c r="G21" t="s">
        <v>7</v>
      </c>
      <c r="H21" t="s">
        <v>7</v>
      </c>
      <c r="I21" t="s">
        <v>7</v>
      </c>
      <c r="J21" t="s">
        <v>7</v>
      </c>
    </row>
    <row r="22" spans="1:10" x14ac:dyDescent="0.25">
      <c r="A22" t="s">
        <v>297</v>
      </c>
      <c r="B22" s="12">
        <f>'Balance Sheet'!B8/'Balance Sheet'!B18</f>
        <v>0.010442821273681808</v>
      </c>
      <c r="C22" s="12">
        <f>'Balance Sheet'!C8/'Balance Sheet'!C18</f>
        <v>0.00910799234793208</v>
      </c>
      <c r="D22" s="12">
        <f>'Balance Sheet'!D8/'Balance Sheet'!D18</f>
        <v>0.011712816917864237</v>
      </c>
      <c r="E22" s="12">
        <f>'Balance Sheet'!E8/'Balance Sheet'!E18</f>
        <v>0.01152929966650786</v>
      </c>
      <c r="F22" t="s">
        <v>7</v>
      </c>
      <c r="G22" t="s">
        <v>7</v>
      </c>
      <c r="H22" t="s">
        <v>7</v>
      </c>
      <c r="I22" t="s">
        <v>7</v>
      </c>
      <c r="J22" t="s">
        <v>7</v>
      </c>
    </row>
    <row r="23" spans="1:10" x14ac:dyDescent="0.25">
      <c r="A23" t="s">
        <v>298</v>
      </c>
      <c r="B23" s="12">
        <f>'Balance Sheet'!B9/'Balance Sheet'!B18</f>
        <v>0.3682758883055619</v>
      </c>
      <c r="C23" s="12">
        <f>'Balance Sheet'!C9/'Balance Sheet'!C18</f>
        <v>0.35812355042408034</v>
      </c>
      <c r="D23" s="12">
        <f>'Balance Sheet'!D9/'Balance Sheet'!D18</f>
        <v>0.359577637574483</v>
      </c>
      <c r="E23" s="12">
        <f>'Balance Sheet'!E9/'Balance Sheet'!E18</f>
        <v>0.3364459266317294</v>
      </c>
      <c r="F23" t="s">
        <v>7</v>
      </c>
      <c r="G23" t="s">
        <v>7</v>
      </c>
      <c r="H23" t="s">
        <v>7</v>
      </c>
      <c r="I23" t="s">
        <v>7</v>
      </c>
      <c r="J23" t="s">
        <v>7</v>
      </c>
    </row>
    <row r="24" spans="1:10" x14ac:dyDescent="0.25">
      <c r="A24" t="s">
        <v>299</v>
      </c>
      <c r="B24" t="s">
        <v>7</v>
      </c>
      <c r="C24" t="s">
        <v>7</v>
      </c>
      <c r="D24" t="s">
        <v>7</v>
      </c>
      <c r="E24" t="s">
        <v>7</v>
      </c>
      <c r="F24" t="s">
        <v>7</v>
      </c>
      <c r="G24" t="s">
        <v>7</v>
      </c>
      <c r="H24" t="s">
        <v>7</v>
      </c>
      <c r="I24" t="s">
        <v>7</v>
      </c>
      <c r="J24" t="s">
        <v>7</v>
      </c>
    </row>
    <row r="25" spans="1:10" x14ac:dyDescent="0.25">
      <c r="A25" t="s">
        <v>300</v>
      </c>
      <c r="B25" s="12">
        <f>'Balance Sheet'!B13/'Balance Sheet'!B18</f>
        <v>0.09101803241269117</v>
      </c>
      <c r="C25" s="12">
        <f>'Balance Sheet'!C13/'Balance Sheet'!C18</f>
        <v>0.065685892769473</v>
      </c>
      <c r="D25" s="12">
        <f>'Balance Sheet'!D13/'Balance Sheet'!D18</f>
        <v>0.051144993574015654</v>
      </c>
      <c r="E25" s="12">
        <f>'Balance Sheet'!E13/'Balance Sheet'!E18</f>
        <v>0.05599945552303818</v>
      </c>
      <c r="F25" t="s">
        <v>7</v>
      </c>
      <c r="G25" t="s">
        <v>7</v>
      </c>
      <c r="H25" t="s">
        <v>7</v>
      </c>
      <c r="I25" t="s">
        <v>7</v>
      </c>
      <c r="J25" t="s">
        <v>7</v>
      </c>
    </row>
    <row r="26" spans="1:10" x14ac:dyDescent="0.25">
      <c r="A26" t="s">
        <v>301</v>
      </c>
      <c r="B26" t="s">
        <v>7</v>
      </c>
      <c r="C26" t="s">
        <v>7</v>
      </c>
      <c r="D26" t="s">
        <v>7</v>
      </c>
      <c r="E26" t="s">
        <v>7</v>
      </c>
      <c r="F26" t="s">
        <v>7</v>
      </c>
      <c r="G26" t="s">
        <v>7</v>
      </c>
      <c r="H26" t="s">
        <v>7</v>
      </c>
      <c r="I26" t="s">
        <v>7</v>
      </c>
      <c r="J26" t="s">
        <v>7</v>
      </c>
    </row>
    <row r="27" spans="1:10" x14ac:dyDescent="0.25">
      <c r="A27" t="s">
        <v>302</v>
      </c>
      <c r="B27" s="12">
        <f>'Balance Sheet'!B15/'Balance Sheet'!B18</f>
        <v>0.3705584721905197</v>
      </c>
      <c r="C27" s="12">
        <f>'Balance Sheet'!C15/'Balance Sheet'!C18</f>
        <v>0.34092332695661004</v>
      </c>
      <c r="D27" s="12">
        <f>'Balance Sheet'!D15/'Balance Sheet'!D18</f>
        <v>0.3116018226428321</v>
      </c>
      <c r="E27" s="12">
        <f>'Balance Sheet'!E15/'Balance Sheet'!E18</f>
        <v>0.29526985639420134</v>
      </c>
      <c r="F27" t="s">
        <v>7</v>
      </c>
      <c r="G27" t="s">
        <v>7</v>
      </c>
      <c r="H27" t="s">
        <v>7</v>
      </c>
      <c r="I27" t="s">
        <v>7</v>
      </c>
      <c r="J27" t="s">
        <v>7</v>
      </c>
    </row>
    <row r="28" spans="1:10" x14ac:dyDescent="0.25">
      <c r="A28" t="s">
        <v>303</v>
      </c>
      <c r="B28" s="12">
        <f>'Balance Sheet'!B18/'Balance Sheet'!B18</f>
        <v>1</v>
      </c>
      <c r="C28" s="12">
        <f>'Balance Sheet'!C18/'Balance Sheet'!C18</f>
        <v>1</v>
      </c>
      <c r="D28" s="12">
        <f>'Balance Sheet'!D18/'Balance Sheet'!D18</f>
        <v>1</v>
      </c>
      <c r="E28" s="12">
        <f>'Balance Sheet'!E18/'Balance Sheet'!E18</f>
        <v>1</v>
      </c>
      <c r="F28" t="s">
        <v>7</v>
      </c>
      <c r="G28" t="s">
        <v>7</v>
      </c>
      <c r="H28" t="s">
        <v>7</v>
      </c>
      <c r="I28" t="s">
        <v>7</v>
      </c>
      <c r="J28" t="s">
        <v>7</v>
      </c>
    </row>
    <row r="29" spans="1:10" x14ac:dyDescent="0.25">
      <c r="A29" t="s">
        <v>304</v>
      </c>
      <c r="B29" s="12">
        <f>'Balance Sheet'!B20/'Balance Sheet'!B18</f>
        <v>0.03127139922392148</v>
      </c>
      <c r="C29" s="12">
        <f>'Balance Sheet'!C20/'Balance Sheet'!C18</f>
        <v>0.02801808054986541</v>
      </c>
      <c r="D29" s="12">
        <f>'Balance Sheet'!D20/'Balance Sheet'!D18</f>
        <v>0.03302079682205865</v>
      </c>
      <c r="E29" s="12">
        <f>'Balance Sheet'!E20/'Balance Sheet'!E18</f>
        <v>0.023412509358197782</v>
      </c>
      <c r="F29" t="s">
        <v>7</v>
      </c>
      <c r="G29" t="s">
        <v>7</v>
      </c>
      <c r="H29" t="s">
        <v>7</v>
      </c>
      <c r="I29" t="s">
        <v>7</v>
      </c>
      <c r="J29" t="s">
        <v>7</v>
      </c>
    </row>
    <row r="30" spans="1:10" x14ac:dyDescent="0.25">
      <c r="A30" t="s">
        <v>305</v>
      </c>
      <c r="B30" t="s">
        <v>7</v>
      </c>
      <c r="C30" t="s">
        <v>7</v>
      </c>
      <c r="D30" t="s">
        <v>7</v>
      </c>
      <c r="E30" t="s">
        <v>7</v>
      </c>
      <c r="F30" t="s">
        <v>7</v>
      </c>
      <c r="G30" t="s">
        <v>7</v>
      </c>
      <c r="H30" t="s">
        <v>7</v>
      </c>
      <c r="I30" t="s">
        <v>7</v>
      </c>
      <c r="J30" t="s">
        <v>7</v>
      </c>
    </row>
    <row r="31" spans="1:10" x14ac:dyDescent="0.25">
      <c r="A31" t="s">
        <v>306</v>
      </c>
      <c r="B31" t="s">
        <v>7</v>
      </c>
      <c r="C31" t="s">
        <v>7</v>
      </c>
      <c r="D31" t="s">
        <v>7</v>
      </c>
      <c r="E31" t="s">
        <v>7</v>
      </c>
      <c r="F31" t="s">
        <v>7</v>
      </c>
      <c r="G31" t="s">
        <v>7</v>
      </c>
      <c r="H31" t="s">
        <v>7</v>
      </c>
      <c r="I31" t="s">
        <v>7</v>
      </c>
      <c r="J31" t="s">
        <v>7</v>
      </c>
    </row>
    <row r="32" spans="1:10" x14ac:dyDescent="0.25">
      <c r="A32" t="s">
        <v>307</v>
      </c>
      <c r="B32" t="s">
        <v>7</v>
      </c>
      <c r="C32" t="s">
        <v>7</v>
      </c>
      <c r="D32" t="s">
        <v>7</v>
      </c>
      <c r="E32" t="s">
        <v>7</v>
      </c>
      <c r="F32" t="s">
        <v>7</v>
      </c>
      <c r="G32" t="s">
        <v>7</v>
      </c>
      <c r="H32" t="s">
        <v>7</v>
      </c>
      <c r="I32" t="s">
        <v>7</v>
      </c>
      <c r="J32" t="s">
        <v>7</v>
      </c>
    </row>
    <row r="33" spans="1:10" x14ac:dyDescent="0.25">
      <c r="A33" t="s">
        <v>308</v>
      </c>
      <c r="B33" t="s">
        <v>7</v>
      </c>
      <c r="C33" t="s">
        <v>7</v>
      </c>
      <c r="D33" t="s">
        <v>7</v>
      </c>
      <c r="E33" t="s">
        <v>7</v>
      </c>
      <c r="F33" t="s">
        <v>7</v>
      </c>
      <c r="G33" t="s">
        <v>7</v>
      </c>
      <c r="H33" t="s">
        <v>7</v>
      </c>
      <c r="I33" t="s">
        <v>7</v>
      </c>
      <c r="J33" t="s">
        <v>7</v>
      </c>
    </row>
    <row r="35" spans="1:10" x14ac:dyDescent="0.25">
      <c r="A35" s="3" t="s">
        <v>309</v>
      </c>
      <c r="B35" s="4"/>
      <c r="C35" s="4"/>
      <c r="D35" s="4"/>
      <c r="E35" s="4"/>
      <c r="F35" s="4"/>
      <c r="G35" s="4"/>
      <c r="H35" s="4"/>
      <c r="I35" s="4"/>
      <c r="J35" s="4"/>
    </row>
    <row r="36" spans="1:10" x14ac:dyDescent="0.25">
      <c r="A36" s="8"/>
      <c r="B36" s="9" t="s">
        <v>16</v>
      </c>
      <c r="C36" s="9" t="s">
        <v>17</v>
      </c>
      <c r="D36" s="9" t="s">
        <v>18</v>
      </c>
      <c r="E36" s="9" t="s">
        <v>19</v>
      </c>
      <c r="F36" s="9" t="s">
        <v>310</v>
      </c>
      <c r="G36" s="9" t="s">
        <v>311</v>
      </c>
      <c r="H36" s="9" t="s">
        <v>312</v>
      </c>
      <c r="I36" s="9" t="s">
        <v>313</v>
      </c>
      <c r="J36" s="9" t="s">
        <v>314</v>
      </c>
    </row>
    <row r="37" spans="1:10" x14ac:dyDescent="0.25">
      <c r="A37" t="s">
        <v>33</v>
      </c>
      <c r="B37" s="12">
        <v>0.05397086528511158</v>
      </c>
      <c r="C37" s="12">
        <v>0.0706449856064732</v>
      </c>
      <c r="D37" s="12">
        <v>0.10653688049670046</v>
      </c>
      <c r="E37" s="12">
        <v>0.1003146904786249</v>
      </c>
      <c r="F37" t="s">
        <v>7</v>
      </c>
      <c r="G37" t="s">
        <v>7</v>
      </c>
      <c r="H37" t="s">
        <v>7</v>
      </c>
      <c r="I37" t="s">
        <v>7</v>
      </c>
      <c r="J37" t="s">
        <v>7</v>
      </c>
    </row>
    <row r="38" spans="1:10" x14ac:dyDescent="0.25">
      <c r="A38" t="s">
        <v>315</v>
      </c>
      <c r="B38" s="12">
        <v>0.038689796850034236</v>
      </c>
      <c r="C38" s="12">
        <v>0.04879927625155633</v>
      </c>
      <c r="D38" s="12">
        <v>0.06847993978406944</v>
      </c>
      <c r="E38" s="12">
        <v>0.062210699112986746</v>
      </c>
      <c r="F38" t="s">
        <v>7</v>
      </c>
      <c r="G38" t="s">
        <v>7</v>
      </c>
      <c r="H38" t="s">
        <v>7</v>
      </c>
      <c r="I38" t="s">
        <v>7</v>
      </c>
      <c r="J38" t="s">
        <v>7</v>
      </c>
    </row>
    <row r="39" spans="1:10" x14ac:dyDescent="0.25">
      <c r="A39" t="s">
        <v>316</v>
      </c>
      <c r="B39" t="s">
        <v>7</v>
      </c>
      <c r="C39" t="s">
        <v>7</v>
      </c>
      <c r="D39" t="s">
        <v>7</v>
      </c>
      <c r="E39" t="s">
        <v>7</v>
      </c>
      <c r="F39" t="s">
        <v>7</v>
      </c>
      <c r="G39" t="s">
        <v>7</v>
      </c>
      <c r="H39" t="s">
        <v>7</v>
      </c>
      <c r="I39" t="s">
        <v>7</v>
      </c>
      <c r="J39" t="s">
        <v>7</v>
      </c>
    </row>
    <row r="40" spans="1:10" x14ac:dyDescent="0.25">
      <c r="A40" t="s">
        <v>317</v>
      </c>
      <c r="B40" t="s">
        <v>7</v>
      </c>
      <c r="C40" t="s">
        <v>7</v>
      </c>
      <c r="D40" t="s">
        <v>7</v>
      </c>
      <c r="E40" t="s">
        <v>7</v>
      </c>
      <c r="F40" t="s">
        <v>7</v>
      </c>
      <c r="G40" t="s">
        <v>7</v>
      </c>
      <c r="H40" t="s">
        <v>7</v>
      </c>
      <c r="I40" t="s">
        <v>7</v>
      </c>
      <c r="J40" t="s">
        <v>7</v>
      </c>
    </row>
    <row r="41" spans="1:10" x14ac:dyDescent="0.25">
      <c r="A41" t="s">
        <v>318</v>
      </c>
      <c r="B41" s="12">
        <v>0.3571553994732221</v>
      </c>
      <c r="C41" s="12">
        <v>0.4238369379181578</v>
      </c>
      <c r="D41" s="12">
        <v>0.5462847135351514</v>
      </c>
      <c r="E41" s="12">
        <v>0.5388088845496705</v>
      </c>
      <c r="F41" t="s">
        <v>7</v>
      </c>
      <c r="G41" t="s">
        <v>7</v>
      </c>
      <c r="H41" t="s">
        <v>7</v>
      </c>
      <c r="I41" t="s">
        <v>7</v>
      </c>
      <c r="J41" t="s">
        <v>7</v>
      </c>
    </row>
    <row r="42" spans="1:10" x14ac:dyDescent="0.25">
      <c r="A42" t="s">
        <v>319</v>
      </c>
      <c r="B42" s="35">
        <v>0.10832762687362094</v>
      </c>
      <c r="C42" s="35">
        <v>0.11513691206635555</v>
      </c>
      <c r="D42" s="35">
        <v>0.1253557679491301</v>
      </c>
      <c r="E42" s="35">
        <v>0.11545967577164516</v>
      </c>
      <c r="F42" t="s">
        <v>7</v>
      </c>
      <c r="G42" t="s">
        <v>7</v>
      </c>
      <c r="H42" t="s">
        <v>7</v>
      </c>
      <c r="I42" t="s">
        <v>7</v>
      </c>
      <c r="J42" t="s">
        <v>7</v>
      </c>
    </row>
    <row r="43" spans="1:10" x14ac:dyDescent="0.25">
      <c r="A43" t="s">
        <v>320</v>
      </c>
      <c r="B43" s="35">
        <v>1.3949637806140047</v>
      </c>
      <c r="C43" s="35">
        <v>1.447664617858347</v>
      </c>
      <c r="D43" s="35">
        <v>1.555738524780132</v>
      </c>
      <c r="E43" s="35">
        <v>1.6124990059416289</v>
      </c>
      <c r="F43" t="s">
        <v>7</v>
      </c>
      <c r="G43" t="s">
        <v>7</v>
      </c>
      <c r="H43" t="s">
        <v>7</v>
      </c>
      <c r="I43" t="s">
        <v>7</v>
      </c>
      <c r="J43" t="s">
        <v>7</v>
      </c>
    </row>
    <row r="44" spans="1:10" x14ac:dyDescent="0.25">
      <c r="A44" s="5" t="s">
        <v>321</v>
      </c>
      <c r="B44" s="33">
        <f>B41*B42*B43</f>
        <v>0.05397086528511158</v>
      </c>
      <c r="C44" s="33">
        <f>C41*C42*C43</f>
        <v>0.0706449856064732</v>
      </c>
      <c r="D44" s="33">
        <f>D41*D42*D43</f>
        <v>0.10653688049670046</v>
      </c>
      <c r="E44" s="33">
        <f>E41*E42*E43</f>
        <v>0.1003146904786249</v>
      </c>
      <c r="F44" t="s">
        <v>7</v>
      </c>
      <c r="G44" t="s">
        <v>7</v>
      </c>
      <c r="H44" t="s">
        <v>7</v>
      </c>
      <c r="I44" t="s">
        <v>7</v>
      </c>
      <c r="J44" t="s">
        <v>7</v>
      </c>
    </row>
    <row r="46" spans="1:8" x14ac:dyDescent="0.25">
      <c r="A46" s="3" t="s">
        <v>322</v>
      </c>
      <c r="B46" s="4"/>
      <c r="C46" s="4"/>
      <c r="D46" s="4"/>
      <c r="E46" s="4"/>
      <c r="F46" s="4"/>
      <c r="G46" s="4"/>
      <c r="H46" s="4"/>
    </row>
    <row r="47" spans="1:3" x14ac:dyDescent="0.25">
      <c r="A47" s="5" t="s">
        <v>323</v>
      </c>
      <c r="B47" t="s">
        <v>7</v>
      </c>
      <c r="C47" s="2" t="s">
        <v>324</v>
      </c>
    </row>
    <row r="48" spans="1:3" x14ac:dyDescent="0.25">
      <c r="A48" s="5" t="s">
        <v>325</v>
      </c>
      <c r="B48" t="s">
        <v>7</v>
      </c>
      <c r="C48" s="2" t="s">
        <v>7</v>
      </c>
    </row>
    <row r="49" spans="1:3" x14ac:dyDescent="0.25">
      <c r="A49" s="5" t="s">
        <v>326</v>
      </c>
      <c r="B49" t="s">
        <v>7</v>
      </c>
      <c r="C49" s="2" t="s">
        <v>327</v>
      </c>
    </row>
    <row r="50" spans="1:1" x14ac:dyDescent="0.25">
      <c r="A50" s="2" t="s">
        <v>328</v>
      </c>
    </row>
    <row r="52" spans="1:8" x14ac:dyDescent="0.25">
      <c r="A52" s="3" t="s">
        <v>329</v>
      </c>
      <c r="B52" s="4"/>
      <c r="C52" s="4"/>
      <c r="D52" s="4"/>
      <c r="E52" s="4"/>
      <c r="F52" s="4"/>
      <c r="G52" s="4"/>
      <c r="H52" s="4"/>
    </row>
    <row r="53" spans="1:5" x14ac:dyDescent="0.25">
      <c r="A53" s="8" t="s">
        <v>330</v>
      </c>
      <c r="B53" s="9" t="s">
        <v>331</v>
      </c>
      <c r="C53" s="9" t="s">
        <v>332</v>
      </c>
      <c r="D53" s="9" t="s">
        <v>333</v>
      </c>
      <c r="E53" s="9" t="s">
        <v>334</v>
      </c>
    </row>
    <row r="54" spans="1:5" x14ac:dyDescent="0.25">
      <c r="A54" t="s">
        <v>335</v>
      </c>
      <c r="B54" s="35">
        <v>1.218</v>
      </c>
      <c r="C54" s="5" t="s">
        <v>336</v>
      </c>
      <c r="D54" t="s">
        <v>337</v>
      </c>
      <c r="E54" t="s">
        <v>338</v>
      </c>
    </row>
    <row r="55" spans="1:5" x14ac:dyDescent="0.25">
      <c r="A55" t="s">
        <v>339</v>
      </c>
      <c r="B55" s="35">
        <v>-0.027</v>
      </c>
      <c r="C55" s="5" t="s">
        <v>336</v>
      </c>
      <c r="D55" t="s">
        <v>340</v>
      </c>
      <c r="E55" t="s">
        <v>341</v>
      </c>
    </row>
    <row r="56" spans="1:5" x14ac:dyDescent="0.25">
      <c r="A56" t="s">
        <v>342</v>
      </c>
      <c r="B56" s="35">
        <v>0.027</v>
      </c>
      <c r="C56" s="5" t="s">
        <v>336</v>
      </c>
      <c r="D56" t="s">
        <v>343</v>
      </c>
      <c r="E56" t="s">
        <v>344</v>
      </c>
    </row>
    <row r="57" spans="1:5" x14ac:dyDescent="0.25">
      <c r="A57" t="s">
        <v>345</v>
      </c>
      <c r="B57" s="35">
        <v>-0.044</v>
      </c>
      <c r="C57" s="5" t="s">
        <v>336</v>
      </c>
      <c r="D57" t="s">
        <v>346</v>
      </c>
      <c r="E57" t="s">
        <v>347</v>
      </c>
    </row>
    <row r="58" spans="1:5" x14ac:dyDescent="0.25">
      <c r="A58" t="s">
        <v>348</v>
      </c>
      <c r="B58" s="35">
        <v>0.622</v>
      </c>
      <c r="C58" s="5" t="s">
        <v>349</v>
      </c>
      <c r="D58" t="s">
        <v>350</v>
      </c>
      <c r="E58" t="s">
        <v>351</v>
      </c>
    </row>
    <row r="59" spans="1:5" x14ac:dyDescent="0.25">
      <c r="A59" t="s">
        <v>352</v>
      </c>
      <c r="B59" t="s">
        <v>7</v>
      </c>
      <c r="C59" s="5" t="s">
        <v>353</v>
      </c>
      <c r="D59" t="s">
        <v>354</v>
      </c>
      <c r="E59" t="s">
        <v>355</v>
      </c>
    </row>
    <row r="60" spans="1:5" x14ac:dyDescent="0.25">
      <c r="A60" t="s">
        <v>356</v>
      </c>
      <c r="B60" t="s">
        <v>7</v>
      </c>
      <c r="C60" s="5" t="s">
        <v>353</v>
      </c>
      <c r="D60" t="s">
        <v>357</v>
      </c>
      <c r="E60" t="s">
        <v>358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3" topLeftCell="B4" activePane="bottomRight" state="frozen"/>
      <selection pane="bottomRight"/>
    </sheetView>
  </sheetViews>
  <sheetFormatPr defaultRowHeight="15" outlineLevelRow="0" outlineLevelCol="0" x14ac:dyDescent="55"/>
  <cols>
    <col min="1" max="1" width="64" customWidth="1"/>
    <col min="2" max="11" width="14" customWidth="1"/>
  </cols>
  <sheetData>
    <row r="1" spans="1:1" x14ac:dyDescent="0.25">
      <c r="A1" s="1" t="s">
        <v>359</v>
      </c>
    </row>
    <row r="2" spans="1:1" x14ac:dyDescent="0.25">
      <c r="A2" s="2" t="s">
        <v>360</v>
      </c>
    </row>
    <row r="4" spans="1:10" x14ac:dyDescent="0.25">
      <c r="A4" s="3" t="s">
        <v>361</v>
      </c>
      <c r="B4" s="4"/>
      <c r="C4" s="4"/>
      <c r="D4" s="4"/>
      <c r="E4" s="4"/>
      <c r="F4" s="4"/>
      <c r="G4" s="4"/>
      <c r="H4" s="4"/>
      <c r="I4" s="4"/>
      <c r="J4" s="4"/>
    </row>
    <row r="5" spans="1:10" x14ac:dyDescent="0.25">
      <c r="A5" s="8"/>
      <c r="B5" s="9" t="s">
        <v>16</v>
      </c>
      <c r="C5" s="9" t="s">
        <v>17</v>
      </c>
      <c r="D5" s="9" t="s">
        <v>18</v>
      </c>
      <c r="E5" s="9" t="s">
        <v>19</v>
      </c>
      <c r="F5" s="9" t="s">
        <v>20</v>
      </c>
      <c r="G5" s="9" t="s">
        <v>21</v>
      </c>
      <c r="H5" s="9" t="s">
        <v>22</v>
      </c>
      <c r="I5" s="9" t="s">
        <v>23</v>
      </c>
      <c r="J5" s="9" t="s">
        <v>24</v>
      </c>
    </row>
    <row r="6" spans="1:10" x14ac:dyDescent="0.25">
      <c r="A6" t="s">
        <v>362</v>
      </c>
      <c r="B6" s="36">
        <f>'Balance Sheet'!B13</f>
        <v>4785</v>
      </c>
      <c r="C6" s="36">
        <f>'Balance Sheet'!C13</f>
        <v>3880</v>
      </c>
      <c r="D6" s="36">
        <f>'Balance Sheet'!D13</f>
        <v>3502</v>
      </c>
      <c r="E6" s="36">
        <f>'Balance Sheet'!E13</f>
        <v>4114</v>
      </c>
      <c r="F6" t="s">
        <v>7</v>
      </c>
      <c r="G6" t="s">
        <v>7</v>
      </c>
      <c r="H6" t="s">
        <v>7</v>
      </c>
      <c r="I6" t="s">
        <v>7</v>
      </c>
      <c r="J6" t="s">
        <v>7</v>
      </c>
    </row>
    <row r="7" spans="1:10" x14ac:dyDescent="0.25">
      <c r="A7" t="s">
        <v>363</v>
      </c>
      <c r="B7" s="36">
        <f>ABS('Cash Flow'!B15)</f>
        <v>64</v>
      </c>
      <c r="C7" s="36">
        <f>ABS('Cash Flow'!C15)</f>
        <v>116</v>
      </c>
      <c r="D7" s="36">
        <f>ABS('Cash Flow'!D15)</f>
        <v>96</v>
      </c>
      <c r="E7" s="36">
        <f>ABS('Cash Flow'!E15)</f>
        <v>129</v>
      </c>
      <c r="F7" t="s">
        <v>7</v>
      </c>
      <c r="G7" t="s">
        <v>7</v>
      </c>
      <c r="H7" t="s">
        <v>7</v>
      </c>
      <c r="I7" t="s">
        <v>7</v>
      </c>
      <c r="J7" t="s">
        <v>7</v>
      </c>
    </row>
    <row r="8" spans="1:10" x14ac:dyDescent="0.25">
      <c r="A8" t="s">
        <v>289</v>
      </c>
      <c r="B8" s="36">
        <f>'Income Statement'!B12</f>
        <v>149</v>
      </c>
      <c r="C8" s="36">
        <f>'Income Statement'!C12</f>
        <v>148</v>
      </c>
      <c r="D8" s="36">
        <f>'Income Statement'!D12</f>
        <v>151</v>
      </c>
      <c r="E8" s="36">
        <f>'Income Statement'!E12</f>
        <v>142</v>
      </c>
      <c r="F8" t="s">
        <v>7</v>
      </c>
      <c r="G8" t="s">
        <v>7</v>
      </c>
      <c r="H8" t="s">
        <v>7</v>
      </c>
      <c r="I8" t="s">
        <v>7</v>
      </c>
      <c r="J8" t="s">
        <v>7</v>
      </c>
    </row>
    <row r="9" spans="1:10" x14ac:dyDescent="0.25">
      <c r="A9" t="s">
        <v>364</v>
      </c>
      <c r="B9" s="12">
        <f>B7/'Income Statement'!B5</f>
        <v>0.011237928007023706</v>
      </c>
      <c r="C9" s="12">
        <f>C7/'Income Statement'!C5</f>
        <v>0.01804885638711685</v>
      </c>
      <c r="D9" s="12">
        <f>D7/'Income Statement'!D5</f>
        <v>0.0120090067550663</v>
      </c>
      <c r="E9" s="12">
        <f>E7/'Income Statement'!E5</f>
        <v>0.015743226751281425</v>
      </c>
      <c r="F9" t="s">
        <v>7</v>
      </c>
      <c r="G9" t="s">
        <v>7</v>
      </c>
      <c r="H9" t="s">
        <v>7</v>
      </c>
      <c r="I9" t="s">
        <v>7</v>
      </c>
      <c r="J9" t="s">
        <v>7</v>
      </c>
    </row>
    <row r="10" spans="1:10" x14ac:dyDescent="0.25">
      <c r="A10" t="s">
        <v>365</v>
      </c>
      <c r="B10" s="34">
        <f>B7/B8</f>
        <v>0.42953020134228187</v>
      </c>
      <c r="C10" s="34">
        <f>C7/C8</f>
        <v>0.7837837837837838</v>
      </c>
      <c r="D10" s="34">
        <f>D7/D8</f>
        <v>0.6357615894039735</v>
      </c>
      <c r="E10" s="34">
        <f>E7/E8</f>
        <v>0.9084507042253521</v>
      </c>
      <c r="F10" t="s">
        <v>7</v>
      </c>
      <c r="G10" t="s">
        <v>7</v>
      </c>
      <c r="H10" t="s">
        <v>7</v>
      </c>
      <c r="I10" t="s">
        <v>7</v>
      </c>
      <c r="J10" t="s">
        <v>7</v>
      </c>
    </row>
    <row r="11" spans="1:10" x14ac:dyDescent="0.25">
      <c r="A11" t="s">
        <v>366</v>
      </c>
      <c r="B11" t="s">
        <v>7</v>
      </c>
      <c r="C11" s="12">
        <f>C8/B6</f>
        <v>0.030929989550679205</v>
      </c>
      <c r="D11" s="12">
        <f>D8/C6</f>
        <v>0.03891752577319588</v>
      </c>
      <c r="E11" s="12">
        <f>E8/D6</f>
        <v>0.04054825813820674</v>
      </c>
      <c r="F11" t="s">
        <v>7</v>
      </c>
      <c r="G11" t="s">
        <v>7</v>
      </c>
      <c r="H11" t="s">
        <v>7</v>
      </c>
      <c r="I11" t="s">
        <v>7</v>
      </c>
      <c r="J11" t="s">
        <v>7</v>
      </c>
    </row>
    <row r="12" spans="1:10" x14ac:dyDescent="0.25">
      <c r="A12" t="s">
        <v>367</v>
      </c>
      <c r="B12" s="36">
        <v>64</v>
      </c>
      <c r="C12" s="36">
        <v>116</v>
      </c>
      <c r="D12" s="36">
        <v>96</v>
      </c>
      <c r="E12" s="36">
        <v>129</v>
      </c>
      <c r="F12" t="s">
        <v>7</v>
      </c>
      <c r="G12" t="s">
        <v>7</v>
      </c>
      <c r="H12" t="s">
        <v>7</v>
      </c>
      <c r="I12" t="s">
        <v>7</v>
      </c>
      <c r="J12" t="s">
        <v>7</v>
      </c>
    </row>
    <row r="13" spans="1:10" x14ac:dyDescent="0.25">
      <c r="A13" t="s">
        <v>368</v>
      </c>
      <c r="B13" s="36">
        <v>0</v>
      </c>
      <c r="C13" s="36">
        <v>0</v>
      </c>
      <c r="D13" s="36">
        <v>0</v>
      </c>
      <c r="E13" s="36">
        <v>0</v>
      </c>
      <c r="F13" t="s">
        <v>7</v>
      </c>
      <c r="G13" t="s">
        <v>7</v>
      </c>
      <c r="H13" t="s">
        <v>7</v>
      </c>
      <c r="I13" t="s">
        <v>7</v>
      </c>
      <c r="J13" t="s">
        <v>7</v>
      </c>
    </row>
    <row r="14" spans="1:1" x14ac:dyDescent="0.25">
      <c r="A14" s="2" t="s">
        <v>369</v>
      </c>
    </row>
    <row r="16" spans="1:10" x14ac:dyDescent="0.25">
      <c r="A16" s="3" t="s">
        <v>370</v>
      </c>
      <c r="B16" s="4"/>
      <c r="C16" s="4"/>
      <c r="D16" s="4"/>
      <c r="E16" s="4"/>
      <c r="F16" s="4"/>
      <c r="G16" s="4"/>
      <c r="H16" s="4"/>
      <c r="I16" s="4"/>
      <c r="J16" s="4"/>
    </row>
    <row r="17" spans="1:10" x14ac:dyDescent="0.25">
      <c r="A17" s="8"/>
      <c r="B17" s="9" t="s">
        <v>16</v>
      </c>
      <c r="C17" s="9" t="s">
        <v>17</v>
      </c>
      <c r="D17" s="9" t="s">
        <v>18</v>
      </c>
      <c r="E17" s="9" t="s">
        <v>19</v>
      </c>
      <c r="F17" s="9" t="s">
        <v>20</v>
      </c>
      <c r="G17" s="9" t="s">
        <v>21</v>
      </c>
      <c r="H17" s="9" t="s">
        <v>22</v>
      </c>
      <c r="I17" s="9" t="s">
        <v>23</v>
      </c>
      <c r="J17" s="9" t="s">
        <v>24</v>
      </c>
    </row>
    <row r="18" spans="1:10" x14ac:dyDescent="0.25">
      <c r="A18" t="s">
        <v>297</v>
      </c>
      <c r="B18" s="36">
        <f>'Balance Sheet'!B8</f>
        <v>549</v>
      </c>
      <c r="C18" s="36">
        <f>'Balance Sheet'!C8</f>
        <v>538</v>
      </c>
      <c r="D18" s="36">
        <f>'Balance Sheet'!D8</f>
        <v>802</v>
      </c>
      <c r="E18" s="36">
        <f>'Balance Sheet'!E8</f>
        <v>847</v>
      </c>
      <c r="F18" t="s">
        <v>7</v>
      </c>
      <c r="G18" t="s">
        <v>7</v>
      </c>
      <c r="H18" t="s">
        <v>7</v>
      </c>
      <c r="I18" t="s">
        <v>7</v>
      </c>
      <c r="J18" t="s">
        <v>7</v>
      </c>
    </row>
    <row r="19" spans="1:10" x14ac:dyDescent="0.25">
      <c r="A19" t="s">
        <v>298</v>
      </c>
      <c r="B19" s="36">
        <f>'Balance Sheet'!B9</f>
        <v>19361</v>
      </c>
      <c r="C19" s="36">
        <f>'Balance Sheet'!C9</f>
        <v>21154</v>
      </c>
      <c r="D19" s="36">
        <f>'Balance Sheet'!D9</f>
        <v>24621</v>
      </c>
      <c r="E19" s="36">
        <f>'Balance Sheet'!E9</f>
        <v>24717</v>
      </c>
      <c r="F19" t="s">
        <v>7</v>
      </c>
      <c r="G19" t="s">
        <v>7</v>
      </c>
      <c r="H19" t="s">
        <v>7</v>
      </c>
      <c r="I19" t="s">
        <v>7</v>
      </c>
      <c r="J19" t="s">
        <v>7</v>
      </c>
    </row>
    <row r="20" spans="1:10" x14ac:dyDescent="0.25">
      <c r="A20" t="s">
        <v>304</v>
      </c>
      <c r="B20" s="36">
        <f>'Balance Sheet'!B20</f>
        <v>1644</v>
      </c>
      <c r="C20" s="36">
        <f>'Balance Sheet'!C20</f>
        <v>1655</v>
      </c>
      <c r="D20" s="36">
        <f>'Balance Sheet'!D20</f>
        <v>2261</v>
      </c>
      <c r="E20" s="36">
        <f>'Balance Sheet'!E20</f>
        <v>1720</v>
      </c>
      <c r="F20" t="s">
        <v>7</v>
      </c>
      <c r="G20" t="s">
        <v>7</v>
      </c>
      <c r="H20" t="s">
        <v>7</v>
      </c>
      <c r="I20" t="s">
        <v>7</v>
      </c>
      <c r="J20" t="s">
        <v>7</v>
      </c>
    </row>
    <row r="21" spans="1:10" x14ac:dyDescent="0.25">
      <c r="A21" s="5" t="s">
        <v>371</v>
      </c>
      <c r="B21" s="10">
        <f>B18+B19-B20</f>
        <v>18266</v>
      </c>
      <c r="C21" s="10">
        <f>C18+C19-C20</f>
        <v>20037</v>
      </c>
      <c r="D21" s="10">
        <f>D18+D19-D20</f>
        <v>23162</v>
      </c>
      <c r="E21" s="10">
        <f>E18+E19-E20</f>
        <v>23844</v>
      </c>
      <c r="F21" t="s">
        <v>7</v>
      </c>
      <c r="G21" t="s">
        <v>7</v>
      </c>
      <c r="H21" t="s">
        <v>7</v>
      </c>
      <c r="I21" t="s">
        <v>7</v>
      </c>
      <c r="J21" t="s">
        <v>7</v>
      </c>
    </row>
    <row r="22" spans="1:10" x14ac:dyDescent="0.25">
      <c r="A22" t="s">
        <v>372</v>
      </c>
      <c r="B22" s="18">
        <f>B18/'Income Statement'!B5*365</f>
        <v>35.18612818261633</v>
      </c>
      <c r="C22" s="18">
        <f>C18/'Income Statement'!C5*365</f>
        <v>30.553913178777037</v>
      </c>
      <c r="D22" s="18">
        <f>D18/'Income Statement'!D5*365</f>
        <v>36.618714035526644</v>
      </c>
      <c r="E22" s="18">
        <f>E18/'Income Statement'!E5*365</f>
        <v>37.72943617280937</v>
      </c>
      <c r="F22" t="s">
        <v>7</v>
      </c>
      <c r="G22" t="s">
        <v>7</v>
      </c>
      <c r="H22" t="s">
        <v>7</v>
      </c>
      <c r="I22" t="s">
        <v>7</v>
      </c>
      <c r="J22" t="s">
        <v>7</v>
      </c>
    </row>
    <row r="23" spans="1:10" x14ac:dyDescent="0.25">
      <c r="A23" t="s">
        <v>373</v>
      </c>
      <c r="B23" s="18">
        <f>B20/'Income Statement'!B9*365</f>
        <v>151.1866969009826</v>
      </c>
      <c r="C23" s="18">
        <f>C20/'Income Statement'!C9*365</f>
        <v>140.3846153846154</v>
      </c>
      <c r="D23" s="18">
        <f>D20/'Income Statement'!D9*365</f>
        <v>140.23194562446898</v>
      </c>
      <c r="E23" s="18">
        <f>E20/'Income Statement'!E9*365</f>
        <v>93.0763528539659</v>
      </c>
      <c r="F23" t="s">
        <v>7</v>
      </c>
      <c r="G23" t="s">
        <v>7</v>
      </c>
      <c r="H23" t="s">
        <v>7</v>
      </c>
      <c r="I23" t="s">
        <v>7</v>
      </c>
      <c r="J23" t="s">
        <v>7</v>
      </c>
    </row>
    <row r="24" spans="1:10" x14ac:dyDescent="0.25">
      <c r="A24" t="s">
        <v>374</v>
      </c>
      <c r="B24" s="18">
        <f>B19/'Income Statement'!B9*365</f>
        <v>1780.4900478710003</v>
      </c>
      <c r="C24" s="18">
        <f>C19/'Income Statement'!C9*365</f>
        <v>1794.3783406925402</v>
      </c>
      <c r="D24" s="18">
        <f>D19/'Income Statement'!D9*365</f>
        <v>1527.0458793542907</v>
      </c>
      <c r="E24" s="18">
        <f>E19/'Income Statement'!E9*365</f>
        <v>1337.5396590066716</v>
      </c>
      <c r="F24" t="s">
        <v>7</v>
      </c>
      <c r="G24" t="s">
        <v>7</v>
      </c>
      <c r="H24" t="s">
        <v>7</v>
      </c>
      <c r="I24" t="s">
        <v>7</v>
      </c>
      <c r="J24" t="s">
        <v>7</v>
      </c>
    </row>
    <row r="25" spans="1:1" x14ac:dyDescent="0.25">
      <c r="A25" s="2" t="s">
        <v>375</v>
      </c>
    </row>
    <row r="27" spans="1:10" x14ac:dyDescent="0.25">
      <c r="A27" s="3" t="s">
        <v>376</v>
      </c>
      <c r="B27" s="4"/>
      <c r="C27" s="4"/>
      <c r="D27" s="4"/>
      <c r="E27" s="4"/>
      <c r="F27" s="4"/>
      <c r="G27" s="4"/>
      <c r="H27" s="4"/>
      <c r="I27" s="4"/>
      <c r="J27" s="4"/>
    </row>
    <row r="28" spans="1:10" x14ac:dyDescent="0.25">
      <c r="A28" s="8"/>
      <c r="B28" s="9" t="s">
        <v>16</v>
      </c>
      <c r="C28" s="9" t="s">
        <v>17</v>
      </c>
      <c r="D28" s="9" t="s">
        <v>18</v>
      </c>
      <c r="E28" s="9" t="s">
        <v>19</v>
      </c>
      <c r="F28" s="9" t="s">
        <v>20</v>
      </c>
      <c r="G28" s="9" t="s">
        <v>21</v>
      </c>
      <c r="H28" s="9" t="s">
        <v>22</v>
      </c>
      <c r="I28" s="9" t="s">
        <v>23</v>
      </c>
      <c r="J28" s="9" t="s">
        <v>24</v>
      </c>
    </row>
    <row r="29" spans="1:10" x14ac:dyDescent="0.25">
      <c r="A29" t="s">
        <v>377</v>
      </c>
      <c r="B29" s="36">
        <f>'Cash Flow'!B13</f>
        <v>2375</v>
      </c>
      <c r="C29" s="36">
        <f>'Cash Flow'!C13</f>
        <v>2539</v>
      </c>
      <c r="D29" s="36">
        <f>'Cash Flow'!D13</f>
        <v>5235</v>
      </c>
      <c r="E29" s="36">
        <f>'Cash Flow'!E13</f>
        <v>6347</v>
      </c>
      <c r="F29" t="s">
        <v>7</v>
      </c>
      <c r="G29" t="s">
        <v>7</v>
      </c>
      <c r="H29" t="s">
        <v>7</v>
      </c>
      <c r="I29" t="s">
        <v>7</v>
      </c>
      <c r="J29" t="s">
        <v>7</v>
      </c>
    </row>
    <row r="30" spans="1:10" x14ac:dyDescent="0.25">
      <c r="A30" s="5" t="s">
        <v>378</v>
      </c>
      <c r="B30" s="10">
        <f>B29-B7</f>
        <v>2311</v>
      </c>
      <c r="C30" s="10">
        <f>C29-C7</f>
        <v>2423</v>
      </c>
      <c r="D30" s="10">
        <f>D29-D7</f>
        <v>5139</v>
      </c>
      <c r="E30" s="10">
        <f>E29-E7</f>
        <v>6218</v>
      </c>
      <c r="F30" t="s">
        <v>7</v>
      </c>
      <c r="G30" t="s">
        <v>7</v>
      </c>
      <c r="H30" t="s">
        <v>7</v>
      </c>
      <c r="I30" t="s">
        <v>7</v>
      </c>
      <c r="J30" t="s">
        <v>7</v>
      </c>
    </row>
    <row r="31" spans="1:10" x14ac:dyDescent="0.25">
      <c r="A31" t="s">
        <v>379</v>
      </c>
      <c r="B31" t="s">
        <v>7</v>
      </c>
      <c r="C31" t="s">
        <v>7</v>
      </c>
      <c r="D31" t="s">
        <v>7</v>
      </c>
      <c r="E31" t="s">
        <v>7</v>
      </c>
      <c r="F31" t="s">
        <v>7</v>
      </c>
      <c r="G31" t="s">
        <v>7</v>
      </c>
      <c r="H31" t="s">
        <v>7</v>
      </c>
      <c r="I31" t="s">
        <v>7</v>
      </c>
      <c r="J31" t="s">
        <v>7</v>
      </c>
    </row>
    <row r="32" spans="1:10" x14ac:dyDescent="0.25">
      <c r="A32" t="s">
        <v>380</v>
      </c>
      <c r="B32" t="s">
        <v>7</v>
      </c>
      <c r="C32" t="s">
        <v>7</v>
      </c>
      <c r="D32" t="s">
        <v>7</v>
      </c>
      <c r="E32" t="s">
        <v>7</v>
      </c>
      <c r="F32" t="s">
        <v>7</v>
      </c>
      <c r="G32" t="s">
        <v>7</v>
      </c>
      <c r="H32" t="s">
        <v>7</v>
      </c>
      <c r="I32" t="s">
        <v>7</v>
      </c>
      <c r="J32" t="s">
        <v>7</v>
      </c>
    </row>
    <row r="33" spans="1:10" x14ac:dyDescent="0.25">
      <c r="A33" t="s">
        <v>381</v>
      </c>
      <c r="B33" t="s">
        <v>7</v>
      </c>
      <c r="C33" t="s">
        <v>7</v>
      </c>
      <c r="D33" t="s">
        <v>7</v>
      </c>
      <c r="E33" t="s">
        <v>7</v>
      </c>
      <c r="F33" t="s">
        <v>7</v>
      </c>
      <c r="G33" t="s">
        <v>7</v>
      </c>
      <c r="H33" t="s">
        <v>7</v>
      </c>
      <c r="I33" t="s">
        <v>7</v>
      </c>
      <c r="J33" t="s">
        <v>7</v>
      </c>
    </row>
    <row r="34" spans="1:10" x14ac:dyDescent="0.25">
      <c r="A34" t="s">
        <v>382</v>
      </c>
      <c r="B34" t="s">
        <v>7</v>
      </c>
      <c r="C34" t="s">
        <v>7</v>
      </c>
      <c r="D34" t="s">
        <v>7</v>
      </c>
      <c r="E34" t="s">
        <v>7</v>
      </c>
      <c r="F34" t="s">
        <v>7</v>
      </c>
      <c r="G34" t="s">
        <v>7</v>
      </c>
      <c r="H34" t="s">
        <v>7</v>
      </c>
      <c r="I34" t="s">
        <v>7</v>
      </c>
      <c r="J34" t="s">
        <v>7</v>
      </c>
    </row>
    <row r="35" spans="1:10" x14ac:dyDescent="0.25">
      <c r="A35" t="s">
        <v>383</v>
      </c>
      <c r="B35" t="s">
        <v>7</v>
      </c>
      <c r="C35" t="s">
        <v>7</v>
      </c>
      <c r="D35" t="s">
        <v>7</v>
      </c>
      <c r="E35" t="s">
        <v>7</v>
      </c>
      <c r="F35" t="s">
        <v>7</v>
      </c>
      <c r="G35" t="s">
        <v>7</v>
      </c>
      <c r="H35" t="s">
        <v>7</v>
      </c>
      <c r="I35" t="s">
        <v>7</v>
      </c>
      <c r="J35" t="s">
        <v>7</v>
      </c>
    </row>
    <row r="36" spans="1:10" x14ac:dyDescent="0.25">
      <c r="A36" t="s">
        <v>384</v>
      </c>
      <c r="B36" t="s">
        <v>7</v>
      </c>
      <c r="C36" t="s">
        <v>7</v>
      </c>
      <c r="D36" t="s">
        <v>7</v>
      </c>
      <c r="E36" t="s">
        <v>7</v>
      </c>
      <c r="F36" t="s">
        <v>7</v>
      </c>
      <c r="G36" t="s">
        <v>7</v>
      </c>
      <c r="H36" t="s">
        <v>7</v>
      </c>
      <c r="I36" t="s">
        <v>7</v>
      </c>
      <c r="J36" t="s">
        <v>7</v>
      </c>
    </row>
    <row r="37" spans="1:10" x14ac:dyDescent="0.25">
      <c r="A37" s="5" t="s">
        <v>385</v>
      </c>
      <c r="B37" t="s">
        <v>7</v>
      </c>
      <c r="C37" t="s">
        <v>7</v>
      </c>
      <c r="D37" t="s">
        <v>7</v>
      </c>
      <c r="E37" t="s">
        <v>7</v>
      </c>
      <c r="F37" t="s">
        <v>7</v>
      </c>
      <c r="G37" t="s">
        <v>7</v>
      </c>
      <c r="H37" t="s">
        <v>7</v>
      </c>
      <c r="I37" t="s">
        <v>7</v>
      </c>
      <c r="J37" t="s">
        <v>7</v>
      </c>
    </row>
    <row r="38" spans="1:10" x14ac:dyDescent="0.25">
      <c r="A38" t="s">
        <v>386</v>
      </c>
      <c r="B38" t="s">
        <v>7</v>
      </c>
      <c r="C38" t="s">
        <v>7</v>
      </c>
      <c r="D38" t="s">
        <v>7</v>
      </c>
      <c r="E38" t="s">
        <v>7</v>
      </c>
      <c r="F38" t="s">
        <v>7</v>
      </c>
      <c r="G38" t="s">
        <v>7</v>
      </c>
      <c r="H38" t="s">
        <v>7</v>
      </c>
      <c r="I38" t="s">
        <v>7</v>
      </c>
      <c r="J38" t="s">
        <v>7</v>
      </c>
    </row>
    <row r="40" spans="1:1" x14ac:dyDescent="0.25">
      <c r="A40" s="2" t="s">
        <v>387</v>
      </c>
    </row>
    <row r="42" spans="1:8" x14ac:dyDescent="0.25">
      <c r="A42" s="3" t="s">
        <v>388</v>
      </c>
      <c r="B42" s="4"/>
      <c r="C42" s="4"/>
      <c r="D42" s="4"/>
      <c r="E42" s="4"/>
      <c r="F42" s="4"/>
      <c r="G42" s="4"/>
      <c r="H42" s="4"/>
    </row>
    <row r="43" spans="1:2" x14ac:dyDescent="0.25">
      <c r="A43" t="s">
        <v>389</v>
      </c>
      <c r="B43" t="s">
        <v>390</v>
      </c>
    </row>
    <row r="44" spans="1:2" x14ac:dyDescent="0.25">
      <c r="A44" t="s">
        <v>391</v>
      </c>
      <c r="B44" t="s">
        <v>392</v>
      </c>
    </row>
    <row r="45" spans="1:2" x14ac:dyDescent="0.25">
      <c r="A45" t="s">
        <v>393</v>
      </c>
      <c r="B45" t="s">
        <v>394</v>
      </c>
    </row>
    <row r="46" spans="1:2" x14ac:dyDescent="0.25">
      <c r="A46" t="s">
        <v>395</v>
      </c>
      <c r="B46" t="s">
        <v>396</v>
      </c>
    </row>
    <row r="47" spans="1:2" x14ac:dyDescent="0.25">
      <c r="A47" t="s">
        <v>397</v>
      </c>
      <c r="B47" t="s">
        <v>398</v>
      </c>
    </row>
    <row r="48" spans="1:2" x14ac:dyDescent="0.25">
      <c r="A48" t="s">
        <v>399</v>
      </c>
      <c r="B48" t="s">
        <v>400</v>
      </c>
    </row>
    <row r="49" spans="1:2" x14ac:dyDescent="0.25">
      <c r="A49" t="s">
        <v>401</v>
      </c>
      <c r="B49" t="s">
        <v>402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Views>
    <sheetView workbookViewId="0">
      <pane xSplit="1" ySplit="3" topLeftCell="B4" activePane="bottomRight" state="frozen"/>
      <selection pane="bottomRight"/>
    </sheetView>
  </sheetViews>
  <sheetFormatPr defaultRowHeight="15" outlineLevelRow="0" outlineLevelCol="0" x14ac:dyDescent="55"/>
  <cols>
    <col min="1" max="1" width="58" customWidth="1"/>
    <col min="2" max="2" width="34" customWidth="1"/>
    <col min="3" max="3" width="20" customWidth="1"/>
    <col min="4" max="5" width="18" customWidth="1"/>
    <col min="6" max="6" width="40" customWidth="1"/>
    <col min="7" max="9" width="18" customWidth="1"/>
  </cols>
  <sheetData>
    <row r="1" spans="1:1" x14ac:dyDescent="0.25">
      <c r="A1" s="1" t="s">
        <v>403</v>
      </c>
    </row>
    <row r="2" spans="1:1" x14ac:dyDescent="0.25">
      <c r="A2" s="2" t="s">
        <v>404</v>
      </c>
    </row>
    <row r="4" spans="1:1" x14ac:dyDescent="0.25">
      <c r="A4" s="5" t="s">
        <v>405</v>
      </c>
    </row>
    <row r="6" spans="1:9" x14ac:dyDescent="0.25">
      <c r="A6" s="3" t="s">
        <v>406</v>
      </c>
      <c r="B6" s="4"/>
      <c r="C6" s="4"/>
      <c r="D6" s="4"/>
      <c r="E6" s="4"/>
      <c r="F6" s="4"/>
      <c r="G6" s="4"/>
      <c r="H6" s="4"/>
      <c r="I6" s="4"/>
    </row>
    <row r="7" spans="1:1" x14ac:dyDescent="0.25">
      <c r="A7" s="2" t="s">
        <v>407</v>
      </c>
    </row>
    <row r="8" spans="1:9" x14ac:dyDescent="0.25">
      <c r="A8" s="8" t="s">
        <v>408</v>
      </c>
      <c r="B8" s="9" t="s">
        <v>409</v>
      </c>
      <c r="C8" s="9" t="s">
        <v>410</v>
      </c>
      <c r="D8" s="9" t="s">
        <v>411</v>
      </c>
      <c r="E8" s="9" t="s">
        <v>412</v>
      </c>
      <c r="F8" s="9" t="s">
        <v>413</v>
      </c>
      <c r="G8" s="9" t="s">
        <v>414</v>
      </c>
      <c r="H8" s="9" t="s">
        <v>415</v>
      </c>
      <c r="I8" s="9" t="s">
        <v>416</v>
      </c>
    </row>
    <row r="9" spans="1:9" x14ac:dyDescent="0.25">
      <c r="A9" t="s">
        <v>25</v>
      </c>
      <c r="B9" t="s">
        <v>417</v>
      </c>
      <c r="C9" t="s">
        <v>418</v>
      </c>
      <c r="D9" s="36">
        <v>5695</v>
      </c>
      <c r="E9" t="s">
        <v>419</v>
      </c>
      <c r="F9" s="36">
        <v>5681.972</v>
      </c>
      <c r="G9" t="s">
        <v>420</v>
      </c>
      <c r="H9" s="37">
        <v>0.0022876207199298065</v>
      </c>
      <c r="I9" t="s">
        <v>421</v>
      </c>
    </row>
    <row r="10" spans="1:9" x14ac:dyDescent="0.25">
      <c r="A10" t="s">
        <v>289</v>
      </c>
      <c r="B10" t="s">
        <v>417</v>
      </c>
      <c r="C10" t="s">
        <v>418</v>
      </c>
      <c r="D10" s="36">
        <v>149</v>
      </c>
      <c r="E10" t="s">
        <v>419</v>
      </c>
      <c r="F10" s="36">
        <v>148.633</v>
      </c>
      <c r="G10" t="s">
        <v>420</v>
      </c>
      <c r="H10" s="37">
        <v>0.002463087248322082</v>
      </c>
      <c r="I10" t="s">
        <v>422</v>
      </c>
    </row>
    <row r="11" spans="1:9" x14ac:dyDescent="0.25">
      <c r="A11" t="s">
        <v>292</v>
      </c>
      <c r="B11" t="s">
        <v>417</v>
      </c>
      <c r="C11" t="s">
        <v>418</v>
      </c>
      <c r="D11" s="36">
        <v>392</v>
      </c>
      <c r="E11" t="s">
        <v>419</v>
      </c>
      <c r="F11" s="36">
        <v>364.258</v>
      </c>
      <c r="G11" s="5" t="s">
        <v>423</v>
      </c>
      <c r="H11" s="37">
        <v>0.07077040816326535</v>
      </c>
      <c r="I11" t="s">
        <v>424</v>
      </c>
    </row>
    <row r="12" spans="1:9" x14ac:dyDescent="0.25">
      <c r="A12" t="s">
        <v>102</v>
      </c>
      <c r="B12" t="s">
        <v>417</v>
      </c>
      <c r="C12" t="s">
        <v>418</v>
      </c>
      <c r="D12" s="36">
        <v>1502</v>
      </c>
      <c r="E12" t="s">
        <v>419</v>
      </c>
      <c r="F12" s="36">
        <v>1502.419</v>
      </c>
      <c r="G12" t="s">
        <v>420</v>
      </c>
      <c r="H12" s="37">
        <v>0.00027896138482030387</v>
      </c>
      <c r="I12" t="s">
        <v>425</v>
      </c>
    </row>
    <row r="13" spans="1:9" x14ac:dyDescent="0.25">
      <c r="A13" t="s">
        <v>426</v>
      </c>
      <c r="B13" t="s">
        <v>417</v>
      </c>
      <c r="C13" t="s">
        <v>418</v>
      </c>
      <c r="D13" s="36">
        <v>405.54</v>
      </c>
      <c r="E13" t="s">
        <v>419</v>
      </c>
      <c r="F13" s="36">
        <v>401.502</v>
      </c>
      <c r="G13" s="5" t="s">
        <v>423</v>
      </c>
      <c r="H13" s="37">
        <v>0.009957094244710783</v>
      </c>
      <c r="I13" t="s">
        <v>427</v>
      </c>
    </row>
    <row r="14" spans="1:9" x14ac:dyDescent="0.25">
      <c r="A14" t="s">
        <v>428</v>
      </c>
      <c r="B14" t="s">
        <v>417</v>
      </c>
      <c r="C14" t="s">
        <v>418</v>
      </c>
      <c r="D14" s="36">
        <v>2034</v>
      </c>
      <c r="E14" t="s">
        <v>419</v>
      </c>
      <c r="F14" s="36">
        <v>2035.825</v>
      </c>
      <c r="G14" t="s">
        <v>420</v>
      </c>
      <c r="H14" s="37">
        <v>0.0008972468043264727</v>
      </c>
      <c r="I14" t="s">
        <v>429</v>
      </c>
    </row>
    <row r="15" spans="1:9" x14ac:dyDescent="0.25">
      <c r="A15" t="s">
        <v>430</v>
      </c>
      <c r="B15" t="s">
        <v>417</v>
      </c>
      <c r="C15" t="s">
        <v>418</v>
      </c>
      <c r="D15" t="s">
        <v>7</v>
      </c>
      <c r="E15" t="s">
        <v>419</v>
      </c>
      <c r="F15" s="36">
        <v>2035.825</v>
      </c>
      <c r="G15" t="s">
        <v>431</v>
      </c>
      <c r="H15" t="s">
        <v>7</v>
      </c>
      <c r="I15" t="s">
        <v>432</v>
      </c>
    </row>
    <row r="16" spans="1:9" x14ac:dyDescent="0.25">
      <c r="A16" t="s">
        <v>433</v>
      </c>
      <c r="B16" t="s">
        <v>417</v>
      </c>
      <c r="C16" t="s">
        <v>418</v>
      </c>
      <c r="D16" t="s">
        <v>7</v>
      </c>
      <c r="E16" t="s">
        <v>419</v>
      </c>
      <c r="F16" s="36">
        <v>8.22</v>
      </c>
      <c r="G16" t="s">
        <v>431</v>
      </c>
      <c r="H16" t="s">
        <v>7</v>
      </c>
      <c r="I16" t="s">
        <v>432</v>
      </c>
    </row>
    <row r="17" spans="1:9" x14ac:dyDescent="0.25">
      <c r="A17" t="s">
        <v>303</v>
      </c>
      <c r="B17" t="s">
        <v>417</v>
      </c>
      <c r="C17" t="s">
        <v>418</v>
      </c>
      <c r="D17" s="36">
        <v>52572</v>
      </c>
      <c r="E17" t="s">
        <v>419</v>
      </c>
      <c r="F17" s="36">
        <v>53927.991</v>
      </c>
      <c r="G17" s="5" t="s">
        <v>423</v>
      </c>
      <c r="H17" s="37">
        <v>0.025793026706231487</v>
      </c>
      <c r="I17" t="s">
        <v>434</v>
      </c>
    </row>
    <row r="18" spans="1:9" x14ac:dyDescent="0.25">
      <c r="A18" t="s">
        <v>435</v>
      </c>
      <c r="B18" t="s">
        <v>417</v>
      </c>
      <c r="C18" t="s">
        <v>418</v>
      </c>
      <c r="D18" t="s">
        <v>7</v>
      </c>
      <c r="E18" t="s">
        <v>419</v>
      </c>
      <c r="F18" s="36">
        <v>37691.898</v>
      </c>
      <c r="G18" t="s">
        <v>431</v>
      </c>
      <c r="H18" t="s">
        <v>7</v>
      </c>
      <c r="I18" t="s">
        <v>432</v>
      </c>
    </row>
    <row r="19" spans="1:9" x14ac:dyDescent="0.25">
      <c r="A19" t="s">
        <v>436</v>
      </c>
      <c r="B19" t="s">
        <v>417</v>
      </c>
      <c r="C19" t="s">
        <v>418</v>
      </c>
      <c r="D19" s="36">
        <v>37687</v>
      </c>
      <c r="E19" t="s">
        <v>419</v>
      </c>
      <c r="F19" s="36">
        <v>37687.534</v>
      </c>
      <c r="G19" t="s">
        <v>420</v>
      </c>
      <c r="H19" s="37">
        <v>0.000014169342213486103</v>
      </c>
      <c r="I19" t="s">
        <v>437</v>
      </c>
    </row>
    <row r="20" spans="1:9" x14ac:dyDescent="0.25">
      <c r="A20" t="s">
        <v>438</v>
      </c>
      <c r="B20" t="s">
        <v>417</v>
      </c>
      <c r="C20" t="s">
        <v>418</v>
      </c>
      <c r="D20" s="36">
        <v>495</v>
      </c>
      <c r="E20" t="s">
        <v>419</v>
      </c>
      <c r="F20" s="36">
        <v>495.062</v>
      </c>
      <c r="G20" t="s">
        <v>420</v>
      </c>
      <c r="H20" s="37">
        <v>0.00012525252525254915</v>
      </c>
      <c r="I20" t="s">
        <v>439</v>
      </c>
    </row>
    <row r="21" spans="1:9" x14ac:dyDescent="0.25">
      <c r="A21" t="s">
        <v>440</v>
      </c>
      <c r="B21" t="s">
        <v>417</v>
      </c>
      <c r="C21" t="s">
        <v>418</v>
      </c>
      <c r="D21" t="s">
        <v>7</v>
      </c>
      <c r="E21" t="s">
        <v>419</v>
      </c>
      <c r="F21" s="36">
        <v>1049.659</v>
      </c>
      <c r="G21" t="s">
        <v>431</v>
      </c>
      <c r="H21" t="s">
        <v>7</v>
      </c>
      <c r="I21" t="s">
        <v>432</v>
      </c>
    </row>
    <row r="22" spans="1:9" x14ac:dyDescent="0.25">
      <c r="A22" t="s">
        <v>441</v>
      </c>
      <c r="B22" t="s">
        <v>417</v>
      </c>
      <c r="C22" t="s">
        <v>418</v>
      </c>
      <c r="D22" t="s">
        <v>7</v>
      </c>
      <c r="E22" t="s">
        <v>419</v>
      </c>
      <c r="F22" s="36">
        <v>2053.426</v>
      </c>
      <c r="G22" t="s">
        <v>431</v>
      </c>
      <c r="H22" t="s">
        <v>7</v>
      </c>
      <c r="I22" t="s">
        <v>432</v>
      </c>
    </row>
    <row r="23" spans="1:9" x14ac:dyDescent="0.25">
      <c r="A23" t="s">
        <v>442</v>
      </c>
      <c r="B23" t="s">
        <v>417</v>
      </c>
      <c r="C23" t="s">
        <v>418</v>
      </c>
      <c r="D23" s="36">
        <v>2275</v>
      </c>
      <c r="E23" t="s">
        <v>419</v>
      </c>
      <c r="F23" s="36">
        <v>165.525</v>
      </c>
      <c r="G23" s="5" t="s">
        <v>423</v>
      </c>
      <c r="H23" s="37">
        <v>0.9272417582417583</v>
      </c>
      <c r="I23" t="s">
        <v>443</v>
      </c>
    </row>
    <row r="24" spans="1:9" x14ac:dyDescent="0.25">
      <c r="A24" t="s">
        <v>444</v>
      </c>
      <c r="B24" t="s">
        <v>417</v>
      </c>
      <c r="C24" t="s">
        <v>418</v>
      </c>
      <c r="D24" s="36">
        <v>2375</v>
      </c>
      <c r="E24" t="s">
        <v>419</v>
      </c>
      <c r="F24" s="36">
        <v>2375.264</v>
      </c>
      <c r="G24" t="s">
        <v>420</v>
      </c>
      <c r="H24" s="37">
        <v>0.00011115789473689419</v>
      </c>
      <c r="I24" t="s">
        <v>445</v>
      </c>
    </row>
    <row r="25" spans="1:9" x14ac:dyDescent="0.25">
      <c r="A25" t="s">
        <v>446</v>
      </c>
      <c r="B25" t="s">
        <v>417</v>
      </c>
      <c r="C25" t="s">
        <v>418</v>
      </c>
      <c r="D25" s="36">
        <v>-461</v>
      </c>
      <c r="E25" t="s">
        <v>419</v>
      </c>
      <c r="F25" s="36">
        <v>-462.624</v>
      </c>
      <c r="G25" t="s">
        <v>420</v>
      </c>
      <c r="H25" s="37">
        <v>0.0035227765726681642</v>
      </c>
      <c r="I25" t="s">
        <v>447</v>
      </c>
    </row>
    <row r="26" spans="1:9" x14ac:dyDescent="0.25">
      <c r="A26" t="s">
        <v>448</v>
      </c>
      <c r="B26" t="s">
        <v>417</v>
      </c>
      <c r="C26" t="s">
        <v>418</v>
      </c>
      <c r="D26" s="36">
        <v>-2013</v>
      </c>
      <c r="E26" t="s">
        <v>419</v>
      </c>
      <c r="F26" s="36">
        <v>-2013.151</v>
      </c>
      <c r="G26" t="s">
        <v>420</v>
      </c>
      <c r="H26" s="37">
        <v>0.0000750124192747478</v>
      </c>
      <c r="I26" t="s">
        <v>449</v>
      </c>
    </row>
    <row r="27" spans="1:9" x14ac:dyDescent="0.25">
      <c r="A27" t="s">
        <v>450</v>
      </c>
      <c r="B27" t="s">
        <v>417</v>
      </c>
      <c r="C27" t="s">
        <v>418</v>
      </c>
      <c r="D27" s="36">
        <v>-64</v>
      </c>
      <c r="E27" t="s">
        <v>419</v>
      </c>
      <c r="F27" s="36">
        <v>-63.743</v>
      </c>
      <c r="G27" t="s">
        <v>420</v>
      </c>
      <c r="H27" s="37">
        <v>0.004015624999999967</v>
      </c>
      <c r="I27" t="s">
        <v>451</v>
      </c>
    </row>
    <row r="28" spans="1:9" x14ac:dyDescent="0.25">
      <c r="A28" t="s">
        <v>452</v>
      </c>
      <c r="B28" t="s">
        <v>417</v>
      </c>
      <c r="C28" t="s">
        <v>418</v>
      </c>
      <c r="D28" t="s">
        <v>7</v>
      </c>
      <c r="E28" t="s">
        <v>419</v>
      </c>
      <c r="F28" s="36">
        <v>247.531</v>
      </c>
      <c r="G28" t="s">
        <v>431</v>
      </c>
      <c r="H28" t="s">
        <v>7</v>
      </c>
      <c r="I28" t="s">
        <v>432</v>
      </c>
    </row>
    <row r="29" spans="1:9" x14ac:dyDescent="0.25">
      <c r="A29" t="s">
        <v>25</v>
      </c>
      <c r="B29" t="s">
        <v>453</v>
      </c>
      <c r="C29" t="s">
        <v>418</v>
      </c>
      <c r="D29" s="36">
        <v>6427</v>
      </c>
      <c r="E29" t="s">
        <v>419</v>
      </c>
      <c r="F29" s="36">
        <v>6249.21</v>
      </c>
      <c r="G29" s="5" t="s">
        <v>423</v>
      </c>
      <c r="H29" s="37">
        <v>0.02766298428504745</v>
      </c>
      <c r="I29" t="s">
        <v>454</v>
      </c>
    </row>
    <row r="30" spans="1:9" x14ac:dyDescent="0.25">
      <c r="A30" t="s">
        <v>289</v>
      </c>
      <c r="B30" t="s">
        <v>453</v>
      </c>
      <c r="C30" t="s">
        <v>418</v>
      </c>
      <c r="D30" s="36">
        <v>148</v>
      </c>
      <c r="E30" t="s">
        <v>419</v>
      </c>
      <c r="F30" s="36">
        <v>147.947</v>
      </c>
      <c r="G30" t="s">
        <v>420</v>
      </c>
      <c r="H30" s="37">
        <v>0.0003581081081080897</v>
      </c>
      <c r="I30" t="s">
        <v>455</v>
      </c>
    </row>
    <row r="31" spans="1:9" x14ac:dyDescent="0.25">
      <c r="A31" t="s">
        <v>292</v>
      </c>
      <c r="B31" t="s">
        <v>453</v>
      </c>
      <c r="C31" t="s">
        <v>418</v>
      </c>
      <c r="D31" s="36">
        <v>356</v>
      </c>
      <c r="E31" t="s">
        <v>419</v>
      </c>
      <c r="F31" s="36">
        <v>330.436</v>
      </c>
      <c r="G31" s="5" t="s">
        <v>423</v>
      </c>
      <c r="H31" s="37">
        <v>0.071808988764045</v>
      </c>
      <c r="I31" t="s">
        <v>456</v>
      </c>
    </row>
    <row r="32" spans="1:9" x14ac:dyDescent="0.25">
      <c r="A32" t="s">
        <v>102</v>
      </c>
      <c r="B32" t="s">
        <v>453</v>
      </c>
      <c r="C32" t="s">
        <v>418</v>
      </c>
      <c r="D32" s="36">
        <v>2151</v>
      </c>
      <c r="E32" t="s">
        <v>419</v>
      </c>
      <c r="F32" s="36">
        <v>2150.545</v>
      </c>
      <c r="G32" t="s">
        <v>420</v>
      </c>
      <c r="H32" s="37">
        <v>0.00021152952115291828</v>
      </c>
      <c r="I32" t="s">
        <v>457</v>
      </c>
    </row>
    <row r="33" spans="1:9" x14ac:dyDescent="0.25">
      <c r="A33" t="s">
        <v>426</v>
      </c>
      <c r="B33" t="s">
        <v>453</v>
      </c>
      <c r="C33" t="s">
        <v>418</v>
      </c>
      <c r="D33" s="36">
        <v>516.24</v>
      </c>
      <c r="E33" t="s">
        <v>419</v>
      </c>
      <c r="F33" s="36">
        <v>520.13</v>
      </c>
      <c r="G33" s="5" t="s">
        <v>423</v>
      </c>
      <c r="H33" s="37">
        <v>0.0075352549201921325</v>
      </c>
      <c r="I33" t="s">
        <v>458</v>
      </c>
    </row>
    <row r="34" spans="1:9" x14ac:dyDescent="0.25">
      <c r="A34" t="s">
        <v>428</v>
      </c>
      <c r="B34" t="s">
        <v>453</v>
      </c>
      <c r="C34" t="s">
        <v>418</v>
      </c>
      <c r="D34" s="36">
        <v>2724</v>
      </c>
      <c r="E34" t="s">
        <v>419</v>
      </c>
      <c r="F34" s="36">
        <v>2727.105</v>
      </c>
      <c r="G34" t="s">
        <v>420</v>
      </c>
      <c r="H34" s="37">
        <v>0.0011398678414096983</v>
      </c>
      <c r="I34" t="s">
        <v>459</v>
      </c>
    </row>
    <row r="35" spans="1:9" x14ac:dyDescent="0.25">
      <c r="A35" t="s">
        <v>430</v>
      </c>
      <c r="B35" t="s">
        <v>453</v>
      </c>
      <c r="C35" t="s">
        <v>418</v>
      </c>
      <c r="D35" t="s">
        <v>7</v>
      </c>
      <c r="E35" t="s">
        <v>419</v>
      </c>
      <c r="F35" s="36">
        <v>2727.105</v>
      </c>
      <c r="G35" t="s">
        <v>431</v>
      </c>
      <c r="H35" t="s">
        <v>7</v>
      </c>
      <c r="I35" t="s">
        <v>432</v>
      </c>
    </row>
    <row r="36" spans="1:9" x14ac:dyDescent="0.25">
      <c r="A36" t="s">
        <v>433</v>
      </c>
      <c r="B36" t="s">
        <v>453</v>
      </c>
      <c r="C36" t="s">
        <v>418</v>
      </c>
      <c r="D36" t="s">
        <v>7</v>
      </c>
      <c r="E36" t="s">
        <v>419</v>
      </c>
      <c r="F36" s="36">
        <v>11.02</v>
      </c>
      <c r="G36" t="s">
        <v>431</v>
      </c>
      <c r="H36" t="s">
        <v>7</v>
      </c>
      <c r="I36" t="s">
        <v>432</v>
      </c>
    </row>
    <row r="37" spans="1:9" x14ac:dyDescent="0.25">
      <c r="A37" t="s">
        <v>303</v>
      </c>
      <c r="B37" t="s">
        <v>453</v>
      </c>
      <c r="C37" t="s">
        <v>418</v>
      </c>
      <c r="D37" s="36">
        <v>59069</v>
      </c>
      <c r="E37" t="s">
        <v>419</v>
      </c>
      <c r="F37" s="36">
        <v>60262.397</v>
      </c>
      <c r="G37" s="5" t="s">
        <v>423</v>
      </c>
      <c r="H37" s="37">
        <v>0.020203440044693446</v>
      </c>
      <c r="I37" t="s">
        <v>460</v>
      </c>
    </row>
    <row r="38" spans="1:9" x14ac:dyDescent="0.25">
      <c r="A38" t="s">
        <v>435</v>
      </c>
      <c r="B38" t="s">
        <v>453</v>
      </c>
      <c r="C38" t="s">
        <v>418</v>
      </c>
      <c r="D38" t="s">
        <v>7</v>
      </c>
      <c r="E38" t="s">
        <v>419</v>
      </c>
      <c r="F38" s="36">
        <v>39431.617</v>
      </c>
      <c r="G38" t="s">
        <v>431</v>
      </c>
      <c r="H38" t="s">
        <v>7</v>
      </c>
      <c r="I38" t="s">
        <v>432</v>
      </c>
    </row>
    <row r="39" spans="1:9" x14ac:dyDescent="0.25">
      <c r="A39" t="s">
        <v>436</v>
      </c>
      <c r="B39" t="s">
        <v>453</v>
      </c>
      <c r="C39" t="s">
        <v>418</v>
      </c>
      <c r="D39" s="36">
        <v>39431</v>
      </c>
      <c r="E39" t="s">
        <v>419</v>
      </c>
      <c r="F39" s="36">
        <v>39430.814</v>
      </c>
      <c r="G39" t="s">
        <v>420</v>
      </c>
      <c r="H39" s="37">
        <v>0.000004717100758325008</v>
      </c>
      <c r="I39" t="s">
        <v>461</v>
      </c>
    </row>
    <row r="40" spans="1:9" x14ac:dyDescent="0.25">
      <c r="A40" t="s">
        <v>438</v>
      </c>
      <c r="B40" t="s">
        <v>453</v>
      </c>
      <c r="C40" t="s">
        <v>418</v>
      </c>
      <c r="D40" s="36">
        <v>495</v>
      </c>
      <c r="E40" t="s">
        <v>419</v>
      </c>
      <c r="F40" s="36">
        <v>495.062</v>
      </c>
      <c r="G40" t="s">
        <v>420</v>
      </c>
      <c r="H40" s="37">
        <v>0.00012525252525254915</v>
      </c>
      <c r="I40" t="s">
        <v>439</v>
      </c>
    </row>
    <row r="41" spans="1:9" x14ac:dyDescent="0.25">
      <c r="A41" t="s">
        <v>440</v>
      </c>
      <c r="B41" t="s">
        <v>453</v>
      </c>
      <c r="C41" t="s">
        <v>418</v>
      </c>
      <c r="D41" t="s">
        <v>7</v>
      </c>
      <c r="E41" t="s">
        <v>419</v>
      </c>
      <c r="F41" s="36">
        <v>2438.987</v>
      </c>
      <c r="G41" t="s">
        <v>431</v>
      </c>
      <c r="H41" t="s">
        <v>7</v>
      </c>
      <c r="I41" t="s">
        <v>432</v>
      </c>
    </row>
    <row r="42" spans="1:9" x14ac:dyDescent="0.25">
      <c r="A42" t="s">
        <v>441</v>
      </c>
      <c r="B42" t="s">
        <v>453</v>
      </c>
      <c r="C42" t="s">
        <v>418</v>
      </c>
      <c r="D42" t="s">
        <v>7</v>
      </c>
      <c r="E42" t="s">
        <v>419</v>
      </c>
      <c r="F42" s="36">
        <v>2159.725</v>
      </c>
      <c r="G42" t="s">
        <v>431</v>
      </c>
      <c r="H42" t="s">
        <v>7</v>
      </c>
      <c r="I42" t="s">
        <v>432</v>
      </c>
    </row>
    <row r="43" spans="1:9" x14ac:dyDescent="0.25">
      <c r="A43" t="s">
        <v>442</v>
      </c>
      <c r="B43" t="s">
        <v>453</v>
      </c>
      <c r="C43" t="s">
        <v>418</v>
      </c>
      <c r="D43" s="36">
        <v>4384</v>
      </c>
      <c r="E43" t="s">
        <v>419</v>
      </c>
      <c r="F43" s="36">
        <v>767.531</v>
      </c>
      <c r="G43" s="5" t="s">
        <v>423</v>
      </c>
      <c r="H43" s="37">
        <v>0.8249244981751825</v>
      </c>
      <c r="I43" t="s">
        <v>462</v>
      </c>
    </row>
    <row r="44" spans="1:9" x14ac:dyDescent="0.25">
      <c r="A44" t="s">
        <v>444</v>
      </c>
      <c r="B44" t="s">
        <v>453</v>
      </c>
      <c r="C44" t="s">
        <v>418</v>
      </c>
      <c r="D44" s="36">
        <v>2539</v>
      </c>
      <c r="E44" t="s">
        <v>419</v>
      </c>
      <c r="F44" s="36">
        <v>2538.808</v>
      </c>
      <c r="G44" t="s">
        <v>420</v>
      </c>
      <c r="H44" s="37">
        <v>0.00007562032296179885</v>
      </c>
      <c r="I44" t="s">
        <v>463</v>
      </c>
    </row>
    <row r="45" spans="1:9" x14ac:dyDescent="0.25">
      <c r="A45" t="s">
        <v>446</v>
      </c>
      <c r="B45" t="s">
        <v>453</v>
      </c>
      <c r="C45" t="s">
        <v>418</v>
      </c>
      <c r="D45" s="36">
        <v>-1529</v>
      </c>
      <c r="E45" t="s">
        <v>419</v>
      </c>
      <c r="F45" s="36">
        <v>-1528.667</v>
      </c>
      <c r="G45" t="s">
        <v>420</v>
      </c>
      <c r="H45" s="37">
        <v>0.00021778940483981927</v>
      </c>
      <c r="I45" t="s">
        <v>464</v>
      </c>
    </row>
    <row r="46" spans="1:9" x14ac:dyDescent="0.25">
      <c r="A46" t="s">
        <v>448</v>
      </c>
      <c r="B46" t="s">
        <v>453</v>
      </c>
      <c r="C46" t="s">
        <v>418</v>
      </c>
      <c r="D46" s="36">
        <v>177</v>
      </c>
      <c r="E46" t="s">
        <v>419</v>
      </c>
      <c r="F46" s="36">
        <v>176.605</v>
      </c>
      <c r="G46" t="s">
        <v>420</v>
      </c>
      <c r="H46" s="37">
        <v>0.002231638418079154</v>
      </c>
      <c r="I46" t="s">
        <v>465</v>
      </c>
    </row>
    <row r="47" spans="1:9" x14ac:dyDescent="0.25">
      <c r="A47" t="s">
        <v>450</v>
      </c>
      <c r="B47" t="s">
        <v>453</v>
      </c>
      <c r="C47" t="s">
        <v>418</v>
      </c>
      <c r="D47" s="36">
        <v>-116</v>
      </c>
      <c r="E47" t="s">
        <v>419</v>
      </c>
      <c r="F47" s="36">
        <v>-115.52</v>
      </c>
      <c r="G47" t="s">
        <v>420</v>
      </c>
      <c r="H47" s="37">
        <v>0.0041379310344827926</v>
      </c>
      <c r="I47" t="s">
        <v>466</v>
      </c>
    </row>
    <row r="48" spans="1:9" x14ac:dyDescent="0.25">
      <c r="A48" t="s">
        <v>452</v>
      </c>
      <c r="B48" t="s">
        <v>453</v>
      </c>
      <c r="C48" t="s">
        <v>418</v>
      </c>
      <c r="D48" t="s">
        <v>7</v>
      </c>
      <c r="E48" t="s">
        <v>419</v>
      </c>
      <c r="F48" s="36">
        <v>247.531</v>
      </c>
      <c r="G48" t="s">
        <v>431</v>
      </c>
      <c r="H48" t="s">
        <v>7</v>
      </c>
      <c r="I48" t="s">
        <v>432</v>
      </c>
    </row>
    <row r="49" spans="1:9" x14ac:dyDescent="0.25">
      <c r="A49" t="s">
        <v>25</v>
      </c>
      <c r="B49" t="s">
        <v>467</v>
      </c>
      <c r="C49" t="s">
        <v>418</v>
      </c>
      <c r="D49" s="36">
        <v>7994</v>
      </c>
      <c r="E49" t="s">
        <v>419</v>
      </c>
      <c r="F49" s="36">
        <v>7946.601</v>
      </c>
      <c r="G49" s="5" t="s">
        <v>423</v>
      </c>
      <c r="H49" s="37">
        <v>0.005929321991493663</v>
      </c>
      <c r="I49" t="s">
        <v>468</v>
      </c>
    </row>
    <row r="50" spans="1:9" x14ac:dyDescent="0.25">
      <c r="A50" t="s">
        <v>289</v>
      </c>
      <c r="B50" t="s">
        <v>467</v>
      </c>
      <c r="C50" t="s">
        <v>418</v>
      </c>
      <c r="D50" s="36">
        <v>151</v>
      </c>
      <c r="E50" t="s">
        <v>419</v>
      </c>
      <c r="F50" s="36">
        <v>150.662</v>
      </c>
      <c r="G50" t="s">
        <v>420</v>
      </c>
      <c r="H50" s="37">
        <v>0.0022384105960264493</v>
      </c>
      <c r="I50" t="s">
        <v>469</v>
      </c>
    </row>
    <row r="51" spans="1:9" x14ac:dyDescent="0.25">
      <c r="A51" t="s">
        <v>292</v>
      </c>
      <c r="B51" t="s">
        <v>467</v>
      </c>
      <c r="C51" t="s">
        <v>418</v>
      </c>
      <c r="D51" s="36">
        <v>397</v>
      </c>
      <c r="E51" t="s">
        <v>419</v>
      </c>
      <c r="F51" s="36">
        <v>374.693</v>
      </c>
      <c r="G51" s="5" t="s">
        <v>423</v>
      </c>
      <c r="H51" s="37">
        <v>0.056188916876574346</v>
      </c>
      <c r="I51" t="s">
        <v>470</v>
      </c>
    </row>
    <row r="52" spans="1:9" x14ac:dyDescent="0.25">
      <c r="A52" t="s">
        <v>102</v>
      </c>
      <c r="B52" t="s">
        <v>467</v>
      </c>
      <c r="C52" t="s">
        <v>418</v>
      </c>
      <c r="D52" s="36">
        <v>2261</v>
      </c>
      <c r="E52" t="s">
        <v>419</v>
      </c>
      <c r="F52" s="36">
        <v>2260.624</v>
      </c>
      <c r="G52" t="s">
        <v>420</v>
      </c>
      <c r="H52" s="37">
        <v>0.00016629809818673318</v>
      </c>
      <c r="I52" t="s">
        <v>471</v>
      </c>
    </row>
    <row r="53" spans="1:9" x14ac:dyDescent="0.25">
      <c r="A53" t="s">
        <v>426</v>
      </c>
      <c r="B53" t="s">
        <v>467</v>
      </c>
      <c r="C53" t="s">
        <v>418</v>
      </c>
      <c r="D53" s="36">
        <v>-429.59</v>
      </c>
      <c r="E53" t="s">
        <v>419</v>
      </c>
      <c r="F53" s="36">
        <v>-433.885</v>
      </c>
      <c r="G53" s="5" t="s">
        <v>423</v>
      </c>
      <c r="H53" s="37">
        <v>0.009997904979166219</v>
      </c>
      <c r="I53" t="s">
        <v>472</v>
      </c>
    </row>
    <row r="54" spans="1:9" x14ac:dyDescent="0.25">
      <c r="A54" t="s">
        <v>428</v>
      </c>
      <c r="B54" t="s">
        <v>467</v>
      </c>
      <c r="C54" t="s">
        <v>418</v>
      </c>
      <c r="D54" s="36">
        <v>4367</v>
      </c>
      <c r="E54" t="s">
        <v>419</v>
      </c>
      <c r="F54" s="36">
        <v>4367.622</v>
      </c>
      <c r="G54" t="s">
        <v>420</v>
      </c>
      <c r="H54" s="37">
        <v>0.00014243187542942485</v>
      </c>
      <c r="I54" t="s">
        <v>473</v>
      </c>
    </row>
    <row r="55" spans="1:9" x14ac:dyDescent="0.25">
      <c r="A55" t="s">
        <v>430</v>
      </c>
      <c r="B55" t="s">
        <v>467</v>
      </c>
      <c r="C55" t="s">
        <v>418</v>
      </c>
      <c r="D55" t="s">
        <v>7</v>
      </c>
      <c r="E55" t="s">
        <v>419</v>
      </c>
      <c r="F55" s="36">
        <v>4367.622</v>
      </c>
      <c r="G55" t="s">
        <v>431</v>
      </c>
      <c r="H55" t="s">
        <v>7</v>
      </c>
      <c r="I55" t="s">
        <v>432</v>
      </c>
    </row>
    <row r="56" spans="1:9" x14ac:dyDescent="0.25">
      <c r="A56" t="s">
        <v>433</v>
      </c>
      <c r="B56" t="s">
        <v>467</v>
      </c>
      <c r="C56" t="s">
        <v>418</v>
      </c>
      <c r="D56" t="s">
        <v>7</v>
      </c>
      <c r="E56" t="s">
        <v>419</v>
      </c>
      <c r="F56" s="36">
        <v>17.64</v>
      </c>
      <c r="G56" t="s">
        <v>431</v>
      </c>
      <c r="H56" t="s">
        <v>7</v>
      </c>
      <c r="I56" t="s">
        <v>432</v>
      </c>
    </row>
    <row r="57" spans="1:9" x14ac:dyDescent="0.25">
      <c r="A57" t="s">
        <v>303</v>
      </c>
      <c r="B57" t="s">
        <v>467</v>
      </c>
      <c r="C57" t="s">
        <v>418</v>
      </c>
      <c r="D57" s="36">
        <v>68472</v>
      </c>
      <c r="E57" t="s">
        <v>419</v>
      </c>
      <c r="F57" s="36">
        <v>69475.374</v>
      </c>
      <c r="G57" s="5" t="s">
        <v>423</v>
      </c>
      <c r="H57" s="37">
        <v>0.014653785488958935</v>
      </c>
      <c r="I57" t="s">
        <v>474</v>
      </c>
    </row>
    <row r="58" spans="1:9" x14ac:dyDescent="0.25">
      <c r="A58" t="s">
        <v>435</v>
      </c>
      <c r="B58" t="s">
        <v>467</v>
      </c>
      <c r="C58" t="s">
        <v>418</v>
      </c>
      <c r="D58" t="s">
        <v>7</v>
      </c>
      <c r="E58" t="s">
        <v>419</v>
      </c>
      <c r="F58" s="36">
        <v>42550.22</v>
      </c>
      <c r="G58" t="s">
        <v>431</v>
      </c>
      <c r="H58" t="s">
        <v>7</v>
      </c>
      <c r="I58" t="s">
        <v>432</v>
      </c>
    </row>
    <row r="59" spans="1:9" x14ac:dyDescent="0.25">
      <c r="A59" t="s">
        <v>436</v>
      </c>
      <c r="B59" t="s">
        <v>467</v>
      </c>
      <c r="C59" t="s">
        <v>418</v>
      </c>
      <c r="D59" s="36">
        <v>42550</v>
      </c>
      <c r="E59" t="s">
        <v>419</v>
      </c>
      <c r="F59" s="36">
        <v>42550.22</v>
      </c>
      <c r="G59" t="s">
        <v>420</v>
      </c>
      <c r="H59" s="37">
        <v>0.0000051703877791107905</v>
      </c>
      <c r="I59" t="s">
        <v>475</v>
      </c>
    </row>
    <row r="60" spans="1:9" x14ac:dyDescent="0.25">
      <c r="A60" t="s">
        <v>438</v>
      </c>
      <c r="B60" t="s">
        <v>467</v>
      </c>
      <c r="C60" t="s">
        <v>418</v>
      </c>
      <c r="D60" s="36">
        <v>495</v>
      </c>
      <c r="E60" t="s">
        <v>419</v>
      </c>
      <c r="F60" s="36">
        <v>495.062</v>
      </c>
      <c r="G60" t="s">
        <v>420</v>
      </c>
      <c r="H60" s="37">
        <v>0.00012525252525254915</v>
      </c>
      <c r="I60" t="s">
        <v>439</v>
      </c>
    </row>
    <row r="61" spans="1:9" x14ac:dyDescent="0.25">
      <c r="A61" t="s">
        <v>440</v>
      </c>
      <c r="B61" t="s">
        <v>467</v>
      </c>
      <c r="C61" t="s">
        <v>418</v>
      </c>
      <c r="D61" t="s">
        <v>7</v>
      </c>
      <c r="E61" t="s">
        <v>419</v>
      </c>
      <c r="F61" s="36">
        <v>1672.068</v>
      </c>
      <c r="G61" t="s">
        <v>431</v>
      </c>
      <c r="H61" t="s">
        <v>7</v>
      </c>
      <c r="I61" t="s">
        <v>432</v>
      </c>
    </row>
    <row r="62" spans="1:9" x14ac:dyDescent="0.25">
      <c r="A62" t="s">
        <v>441</v>
      </c>
      <c r="B62" t="s">
        <v>467</v>
      </c>
      <c r="C62" t="s">
        <v>418</v>
      </c>
      <c r="D62" t="s">
        <v>7</v>
      </c>
      <c r="E62" t="s">
        <v>419</v>
      </c>
      <c r="F62" s="36">
        <v>2181.958</v>
      </c>
      <c r="G62" t="s">
        <v>431</v>
      </c>
      <c r="H62" t="s">
        <v>7</v>
      </c>
      <c r="I62" t="s">
        <v>432</v>
      </c>
    </row>
    <row r="63" spans="1:9" x14ac:dyDescent="0.25">
      <c r="A63" t="s">
        <v>442</v>
      </c>
      <c r="B63" t="s">
        <v>467</v>
      </c>
      <c r="C63" t="s">
        <v>418</v>
      </c>
      <c r="D63" s="36">
        <v>4338</v>
      </c>
      <c r="E63" t="s">
        <v>419</v>
      </c>
      <c r="F63" s="36">
        <v>313.806</v>
      </c>
      <c r="G63" s="5" t="s">
        <v>423</v>
      </c>
      <c r="H63" s="37">
        <v>0.9276611341632088</v>
      </c>
      <c r="I63" t="s">
        <v>476</v>
      </c>
    </row>
    <row r="64" spans="1:9" x14ac:dyDescent="0.25">
      <c r="A64" t="s">
        <v>444</v>
      </c>
      <c r="B64" t="s">
        <v>467</v>
      </c>
      <c r="C64" t="s">
        <v>418</v>
      </c>
      <c r="D64" s="36">
        <v>5235</v>
      </c>
      <c r="E64" t="s">
        <v>419</v>
      </c>
      <c r="F64" s="36">
        <v>5235.223</v>
      </c>
      <c r="G64" t="s">
        <v>420</v>
      </c>
      <c r="H64" s="37">
        <v>0.00004259789875834887</v>
      </c>
      <c r="I64" t="s">
        <v>477</v>
      </c>
    </row>
    <row r="65" spans="1:9" x14ac:dyDescent="0.25">
      <c r="A65" t="s">
        <v>446</v>
      </c>
      <c r="B65" t="s">
        <v>467</v>
      </c>
      <c r="C65" t="s">
        <v>418</v>
      </c>
      <c r="D65" s="36">
        <v>-3475</v>
      </c>
      <c r="E65" t="s">
        <v>419</v>
      </c>
      <c r="F65" s="36">
        <v>-3543.046</v>
      </c>
      <c r="G65" s="5" t="s">
        <v>423</v>
      </c>
      <c r="H65" s="37">
        <v>0.0195815827338129</v>
      </c>
      <c r="I65" t="s">
        <v>478</v>
      </c>
    </row>
    <row r="66" spans="1:9" x14ac:dyDescent="0.25">
      <c r="A66" t="s">
        <v>448</v>
      </c>
      <c r="B66" t="s">
        <v>467</v>
      </c>
      <c r="C66" t="s">
        <v>418</v>
      </c>
      <c r="D66" s="36">
        <v>-2403</v>
      </c>
      <c r="E66" t="s">
        <v>419</v>
      </c>
      <c r="F66" s="36">
        <v>-2402.557</v>
      </c>
      <c r="G66" t="s">
        <v>420</v>
      </c>
      <c r="H66" s="37">
        <v>0.00018435289221814858</v>
      </c>
      <c r="I66" t="s">
        <v>479</v>
      </c>
    </row>
    <row r="67" spans="1:9" x14ac:dyDescent="0.25">
      <c r="A67" t="s">
        <v>450</v>
      </c>
      <c r="B67" t="s">
        <v>467</v>
      </c>
      <c r="C67" t="s">
        <v>418</v>
      </c>
      <c r="D67" s="36">
        <v>-96</v>
      </c>
      <c r="E67" t="s">
        <v>419</v>
      </c>
      <c r="F67" s="36">
        <v>-96.016</v>
      </c>
      <c r="G67" t="s">
        <v>420</v>
      </c>
      <c r="H67" s="37">
        <v>0.00016666666666672233</v>
      </c>
      <c r="I67" t="s">
        <v>480</v>
      </c>
    </row>
    <row r="68" spans="1:9" x14ac:dyDescent="0.25">
      <c r="A68" t="s">
        <v>452</v>
      </c>
      <c r="B68" t="s">
        <v>467</v>
      </c>
      <c r="C68" t="s">
        <v>418</v>
      </c>
      <c r="D68" t="s">
        <v>7</v>
      </c>
      <c r="E68" t="s">
        <v>419</v>
      </c>
      <c r="F68" s="36">
        <v>247.531</v>
      </c>
      <c r="G68" t="s">
        <v>431</v>
      </c>
      <c r="H68" t="s">
        <v>7</v>
      </c>
      <c r="I68" t="s">
        <v>432</v>
      </c>
    </row>
    <row r="69" spans="1:9" x14ac:dyDescent="0.25">
      <c r="A69" t="s">
        <v>25</v>
      </c>
      <c r="B69" t="s">
        <v>481</v>
      </c>
      <c r="C69" t="s">
        <v>418</v>
      </c>
      <c r="D69" s="36">
        <v>8194</v>
      </c>
      <c r="E69" t="s">
        <v>419</v>
      </c>
      <c r="F69" s="36">
        <v>7837.658</v>
      </c>
      <c r="G69" s="5" t="s">
        <v>423</v>
      </c>
      <c r="H69" s="37">
        <v>0.04348816206980713</v>
      </c>
      <c r="I69" t="s">
        <v>482</v>
      </c>
    </row>
    <row r="70" spans="1:9" x14ac:dyDescent="0.25">
      <c r="A70" t="s">
        <v>289</v>
      </c>
      <c r="B70" t="s">
        <v>481</v>
      </c>
      <c r="C70" t="s">
        <v>418</v>
      </c>
      <c r="D70" s="36">
        <v>142</v>
      </c>
      <c r="E70" t="s">
        <v>419</v>
      </c>
      <c r="F70" s="36">
        <v>142.413</v>
      </c>
      <c r="G70" t="s">
        <v>420</v>
      </c>
      <c r="H70" s="37">
        <v>0.0029084507042254288</v>
      </c>
      <c r="I70" t="s">
        <v>483</v>
      </c>
    </row>
    <row r="71" spans="1:9" x14ac:dyDescent="0.25">
      <c r="A71" t="s">
        <v>292</v>
      </c>
      <c r="B71" t="s">
        <v>481</v>
      </c>
      <c r="C71" t="s">
        <v>418</v>
      </c>
      <c r="D71" s="36">
        <v>199</v>
      </c>
      <c r="E71" t="s">
        <v>419</v>
      </c>
      <c r="F71" s="36">
        <v>183.476</v>
      </c>
      <c r="G71" s="5" t="s">
        <v>423</v>
      </c>
      <c r="H71" s="37">
        <v>0.07801005025125629</v>
      </c>
      <c r="I71" t="s">
        <v>484</v>
      </c>
    </row>
    <row r="72" spans="1:9" x14ac:dyDescent="0.25">
      <c r="A72" t="s">
        <v>102</v>
      </c>
      <c r="B72" t="s">
        <v>481</v>
      </c>
      <c r="C72" t="s">
        <v>418</v>
      </c>
      <c r="D72" s="36">
        <v>2932</v>
      </c>
      <c r="E72" t="s">
        <v>419</v>
      </c>
      <c r="F72" s="36">
        <v>2931.816</v>
      </c>
      <c r="G72" t="s">
        <v>420</v>
      </c>
      <c r="H72" s="37">
        <v>0.00006275579809010794</v>
      </c>
      <c r="I72" t="s">
        <v>485</v>
      </c>
    </row>
    <row r="73" spans="1:9" x14ac:dyDescent="0.25">
      <c r="A73" t="s">
        <v>426</v>
      </c>
      <c r="B73" t="s">
        <v>481</v>
      </c>
      <c r="C73" t="s">
        <v>418</v>
      </c>
      <c r="D73" s="36">
        <v>322.52</v>
      </c>
      <c r="E73" t="s">
        <v>419</v>
      </c>
      <c r="F73" s="36">
        <v>309.966</v>
      </c>
      <c r="G73" s="5" t="s">
        <v>423</v>
      </c>
      <c r="H73" s="37">
        <v>0.03892471784695515</v>
      </c>
      <c r="I73" t="s">
        <v>486</v>
      </c>
    </row>
    <row r="74" spans="1:9" x14ac:dyDescent="0.25">
      <c r="A74" t="s">
        <v>428</v>
      </c>
      <c r="B74" t="s">
        <v>481</v>
      </c>
      <c r="C74" t="s">
        <v>418</v>
      </c>
      <c r="D74" s="36">
        <v>4415</v>
      </c>
      <c r="E74" t="s">
        <v>419</v>
      </c>
      <c r="F74" s="36">
        <v>4414.675</v>
      </c>
      <c r="G74" t="s">
        <v>420</v>
      </c>
      <c r="H74" s="37">
        <v>0.00007361268403166889</v>
      </c>
      <c r="I74" t="s">
        <v>487</v>
      </c>
    </row>
    <row r="75" spans="1:9" x14ac:dyDescent="0.25">
      <c r="A75" t="s">
        <v>430</v>
      </c>
      <c r="B75" t="s">
        <v>481</v>
      </c>
      <c r="C75" t="s">
        <v>418</v>
      </c>
      <c r="D75" t="s">
        <v>7</v>
      </c>
      <c r="E75" t="s">
        <v>419</v>
      </c>
      <c r="F75" s="36">
        <v>4414.675</v>
      </c>
      <c r="G75" t="s">
        <v>431</v>
      </c>
      <c r="H75" t="s">
        <v>7</v>
      </c>
      <c r="I75" t="s">
        <v>432</v>
      </c>
    </row>
    <row r="76" spans="1:9" x14ac:dyDescent="0.25">
      <c r="A76" t="s">
        <v>433</v>
      </c>
      <c r="B76" t="s">
        <v>481</v>
      </c>
      <c r="C76" t="s">
        <v>418</v>
      </c>
      <c r="D76" t="s">
        <v>7</v>
      </c>
      <c r="E76" t="s">
        <v>419</v>
      </c>
      <c r="F76" s="36">
        <v>17.83</v>
      </c>
      <c r="G76" t="s">
        <v>431</v>
      </c>
      <c r="H76" t="s">
        <v>7</v>
      </c>
      <c r="I76" t="s">
        <v>432</v>
      </c>
    </row>
    <row r="77" spans="1:9" x14ac:dyDescent="0.25">
      <c r="A77" t="s">
        <v>303</v>
      </c>
      <c r="B77" t="s">
        <v>481</v>
      </c>
      <c r="C77" t="s">
        <v>418</v>
      </c>
      <c r="D77" s="36">
        <v>73465</v>
      </c>
      <c r="E77" t="s">
        <v>419</v>
      </c>
      <c r="F77" s="36">
        <v>74874.773</v>
      </c>
      <c r="G77" s="5" t="s">
        <v>423</v>
      </c>
      <c r="H77" s="37">
        <v>0.019189722997345688</v>
      </c>
      <c r="I77" t="s">
        <v>488</v>
      </c>
    </row>
    <row r="78" spans="1:9" x14ac:dyDescent="0.25">
      <c r="A78" t="s">
        <v>435</v>
      </c>
      <c r="B78" t="s">
        <v>481</v>
      </c>
      <c r="C78" t="s">
        <v>418</v>
      </c>
      <c r="D78" t="s">
        <v>7</v>
      </c>
      <c r="E78" t="s">
        <v>419</v>
      </c>
      <c r="F78" s="36">
        <v>45473.37</v>
      </c>
      <c r="G78" t="s">
        <v>431</v>
      </c>
      <c r="H78" t="s">
        <v>7</v>
      </c>
      <c r="I78" t="s">
        <v>432</v>
      </c>
    </row>
    <row r="79" spans="1:9" x14ac:dyDescent="0.25">
      <c r="A79" t="s">
        <v>436</v>
      </c>
      <c r="B79" t="s">
        <v>481</v>
      </c>
      <c r="C79" t="s">
        <v>418</v>
      </c>
      <c r="D79" s="36">
        <v>45473</v>
      </c>
      <c r="E79" t="s">
        <v>419</v>
      </c>
      <c r="F79" s="36">
        <v>45473.37</v>
      </c>
      <c r="G79" t="s">
        <v>420</v>
      </c>
      <c r="H79" s="37">
        <v>0.000008136696501278107</v>
      </c>
      <c r="I79" t="s">
        <v>489</v>
      </c>
    </row>
    <row r="80" spans="1:9" x14ac:dyDescent="0.25">
      <c r="A80" t="s">
        <v>438</v>
      </c>
      <c r="B80" t="s">
        <v>481</v>
      </c>
      <c r="C80" t="s">
        <v>418</v>
      </c>
      <c r="D80" s="36">
        <v>495</v>
      </c>
      <c r="E80" t="s">
        <v>419</v>
      </c>
      <c r="F80" s="36">
        <v>495.062</v>
      </c>
      <c r="G80" t="s">
        <v>420</v>
      </c>
      <c r="H80" s="37">
        <v>0.00012525252525254915</v>
      </c>
      <c r="I80" t="s">
        <v>439</v>
      </c>
    </row>
    <row r="81" spans="1:9" x14ac:dyDescent="0.25">
      <c r="A81" t="s">
        <v>440</v>
      </c>
      <c r="B81" t="s">
        <v>481</v>
      </c>
      <c r="C81" t="s">
        <v>418</v>
      </c>
      <c r="D81" t="s">
        <v>7</v>
      </c>
      <c r="E81" t="s">
        <v>419</v>
      </c>
      <c r="F81" s="36">
        <v>0</v>
      </c>
      <c r="G81" t="s">
        <v>431</v>
      </c>
      <c r="H81" t="s">
        <v>7</v>
      </c>
      <c r="I81" t="s">
        <v>432</v>
      </c>
    </row>
    <row r="82" spans="1:9" x14ac:dyDescent="0.25">
      <c r="A82" t="s">
        <v>441</v>
      </c>
      <c r="B82" t="s">
        <v>481</v>
      </c>
      <c r="C82" t="s">
        <v>418</v>
      </c>
      <c r="D82" t="s">
        <v>7</v>
      </c>
      <c r="E82" t="s">
        <v>419</v>
      </c>
      <c r="F82" s="36">
        <v>44.948</v>
      </c>
      <c r="G82" t="s">
        <v>431</v>
      </c>
      <c r="H82" t="s">
        <v>7</v>
      </c>
      <c r="I82" t="s">
        <v>432</v>
      </c>
    </row>
    <row r="83" spans="1:9" x14ac:dyDescent="0.25">
      <c r="A83" t="s">
        <v>442</v>
      </c>
      <c r="B83" t="s">
        <v>481</v>
      </c>
      <c r="C83" t="s">
        <v>418</v>
      </c>
      <c r="D83" s="36">
        <v>7746</v>
      </c>
      <c r="E83" t="s">
        <v>419</v>
      </c>
      <c r="F83" s="36">
        <v>299.115</v>
      </c>
      <c r="G83" s="5" t="s">
        <v>423</v>
      </c>
      <c r="H83" s="37">
        <v>0.9613845855925639</v>
      </c>
      <c r="I83" t="s">
        <v>490</v>
      </c>
    </row>
    <row r="84" spans="1:9" x14ac:dyDescent="0.25">
      <c r="A84" t="s">
        <v>444</v>
      </c>
      <c r="B84" t="s">
        <v>481</v>
      </c>
      <c r="C84" t="s">
        <v>418</v>
      </c>
      <c r="D84" s="36">
        <v>6347</v>
      </c>
      <c r="E84" t="s">
        <v>419</v>
      </c>
      <c r="F84" s="36">
        <v>6347.385</v>
      </c>
      <c r="G84" t="s">
        <v>420</v>
      </c>
      <c r="H84" s="37">
        <v>0.0000606585788561869</v>
      </c>
      <c r="I84" t="s">
        <v>491</v>
      </c>
    </row>
    <row r="85" spans="1:9" x14ac:dyDescent="0.25">
      <c r="A85" t="s">
        <v>446</v>
      </c>
      <c r="B85" t="s">
        <v>481</v>
      </c>
      <c r="C85" t="s">
        <v>418</v>
      </c>
      <c r="D85" s="36">
        <v>721</v>
      </c>
      <c r="E85" t="s">
        <v>419</v>
      </c>
      <c r="F85" s="36">
        <v>721.083</v>
      </c>
      <c r="G85" t="s">
        <v>420</v>
      </c>
      <c r="H85" s="37">
        <v>0.00011511789181687931</v>
      </c>
      <c r="I85" t="s">
        <v>492</v>
      </c>
    </row>
    <row r="86" spans="1:9" x14ac:dyDescent="0.25">
      <c r="A86" t="s">
        <v>448</v>
      </c>
      <c r="B86" t="s">
        <v>481</v>
      </c>
      <c r="C86" t="s">
        <v>418</v>
      </c>
      <c r="D86" s="36">
        <v>-5547</v>
      </c>
      <c r="E86" t="s">
        <v>419</v>
      </c>
      <c r="F86" s="36">
        <v>-5546.814</v>
      </c>
      <c r="G86" t="s">
        <v>420</v>
      </c>
      <c r="H86" s="37">
        <v>0.000033531638723579305</v>
      </c>
      <c r="I86" t="s">
        <v>493</v>
      </c>
    </row>
    <row r="87" spans="1:9" x14ac:dyDescent="0.25">
      <c r="A87" t="s">
        <v>450</v>
      </c>
      <c r="B87" t="s">
        <v>481</v>
      </c>
      <c r="C87" t="s">
        <v>418</v>
      </c>
      <c r="D87" s="36">
        <v>-129</v>
      </c>
      <c r="E87" t="s">
        <v>419</v>
      </c>
      <c r="F87" s="36">
        <v>-129.195</v>
      </c>
      <c r="G87" t="s">
        <v>420</v>
      </c>
      <c r="H87" s="37">
        <v>0.0015116279069766912</v>
      </c>
      <c r="I87" t="s">
        <v>494</v>
      </c>
    </row>
    <row r="88" spans="1:9" x14ac:dyDescent="0.25">
      <c r="A88" t="s">
        <v>452</v>
      </c>
      <c r="B88" t="s">
        <v>481</v>
      </c>
      <c r="C88" t="s">
        <v>418</v>
      </c>
      <c r="D88" s="36">
        <v>247.5</v>
      </c>
      <c r="E88" t="s">
        <v>419</v>
      </c>
      <c r="F88" s="36">
        <v>247.531</v>
      </c>
      <c r="G88" t="s">
        <v>420</v>
      </c>
      <c r="H88" s="37">
        <v>0.00012525252525254915</v>
      </c>
      <c r="I88" t="s">
        <v>495</v>
      </c>
    </row>
    <row r="89" spans="1:1" x14ac:dyDescent="0.25">
      <c r="A89" s="2" t="s">
        <v>496</v>
      </c>
    </row>
    <row r="91" spans="1:8" x14ac:dyDescent="0.25">
      <c r="A91" s="3" t="s">
        <v>497</v>
      </c>
      <c r="B91" s="4"/>
      <c r="C91" s="4"/>
      <c r="D91" s="4"/>
      <c r="E91" s="4"/>
      <c r="F91" s="4"/>
      <c r="G91" s="4"/>
      <c r="H91" s="4"/>
    </row>
    <row r="92" spans="1:8" x14ac:dyDescent="0.25">
      <c r="A92" s="8" t="s">
        <v>409</v>
      </c>
      <c r="B92" s="9" t="s">
        <v>498</v>
      </c>
      <c r="C92" s="9" t="s">
        <v>499</v>
      </c>
      <c r="D92" s="9" t="s">
        <v>500</v>
      </c>
      <c r="E92" s="9" t="s">
        <v>501</v>
      </c>
      <c r="F92" s="9" t="s">
        <v>502</v>
      </c>
      <c r="G92" s="9" t="s">
        <v>503</v>
      </c>
      <c r="H92" s="9" t="s">
        <v>504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FormatPr defaultRowHeight="15" outlineLevelRow="0" outlineLevelCol="0" x14ac:dyDescent="55"/>
  <cols>
    <col min="1" max="1" width="56" customWidth="1"/>
    <col min="2" max="2" width="28" customWidth="1"/>
    <col min="3" max="3" width="70" customWidth="1"/>
    <col min="4" max="9" width="18" customWidth="1"/>
  </cols>
  <sheetData>
    <row r="1" spans="1:1" x14ac:dyDescent="0.25">
      <c r="A1" s="1" t="s">
        <v>505</v>
      </c>
    </row>
    <row r="2" spans="1:1" x14ac:dyDescent="0.25">
      <c r="A2" s="2" t="s">
        <v>506</v>
      </c>
    </row>
    <row r="4" spans="1:9" x14ac:dyDescent="0.25">
      <c r="A4" s="3" t="s">
        <v>507</v>
      </c>
      <c r="B4" s="4"/>
      <c r="C4" s="4"/>
      <c r="D4" s="4"/>
      <c r="E4" s="4"/>
      <c r="F4" s="4"/>
      <c r="G4" s="4"/>
      <c r="H4" s="4"/>
      <c r="I4" s="4"/>
    </row>
    <row r="5" spans="1:9" x14ac:dyDescent="0.25">
      <c r="A5" s="8" t="s">
        <v>508</v>
      </c>
      <c r="B5" s="9" t="s">
        <v>57</v>
      </c>
      <c r="C5" s="9" t="s">
        <v>509</v>
      </c>
      <c r="D5" s="9" t="s">
        <v>63</v>
      </c>
      <c r="E5" s="9" t="s">
        <v>8</v>
      </c>
      <c r="F5" s="9" t="s">
        <v>4</v>
      </c>
      <c r="G5" s="9" t="s">
        <v>510</v>
      </c>
      <c r="H5" s="9" t="s">
        <v>511</v>
      </c>
      <c r="I5" s="9" t="s">
        <v>512</v>
      </c>
    </row>
    <row r="6" spans="1:9" x14ac:dyDescent="0.25">
      <c r="A6" s="5" t="s">
        <v>513</v>
      </c>
      <c r="B6" t="s">
        <v>58</v>
      </c>
      <c r="C6" s="14">
        <v>691.55</v>
      </c>
      <c r="D6" t="s">
        <v>64</v>
      </c>
      <c r="E6" t="s">
        <v>77</v>
      </c>
      <c r="F6" t="s">
        <v>7</v>
      </c>
      <c r="G6">
        <v>0</v>
      </c>
      <c r="H6">
        <v>0</v>
      </c>
      <c r="I6" t="s">
        <v>514</v>
      </c>
    </row>
    <row r="7" spans="1:9" x14ac:dyDescent="0.25">
      <c r="A7" t="s">
        <v>515</v>
      </c>
      <c r="B7" t="s">
        <v>516</v>
      </c>
      <c r="C7" s="14">
        <v>691.55</v>
      </c>
      <c r="D7" t="s">
        <v>64</v>
      </c>
      <c r="E7" t="s">
        <v>77</v>
      </c>
      <c r="F7" t="s">
        <v>7</v>
      </c>
      <c r="G7" t="s">
        <v>7</v>
      </c>
      <c r="H7" t="s">
        <v>7</v>
      </c>
      <c r="I7" t="s">
        <v>514</v>
      </c>
    </row>
    <row r="9" spans="1:9" x14ac:dyDescent="0.25">
      <c r="A9" s="3" t="s">
        <v>517</v>
      </c>
      <c r="B9" s="4"/>
      <c r="C9" s="4"/>
      <c r="D9" s="4"/>
      <c r="E9" s="4"/>
      <c r="F9" s="4"/>
      <c r="G9" s="4"/>
      <c r="H9" s="4"/>
      <c r="I9" s="4"/>
    </row>
    <row r="10" spans="1:1" x14ac:dyDescent="0.25">
      <c r="A10" t="s">
        <v>518</v>
      </c>
    </row>
    <row r="12" spans="1:9" x14ac:dyDescent="0.25">
      <c r="A12" s="3" t="s">
        <v>519</v>
      </c>
      <c r="B12" s="4"/>
      <c r="C12" s="4"/>
      <c r="D12" s="4"/>
      <c r="E12" s="4"/>
      <c r="F12" s="4"/>
      <c r="G12" s="4"/>
      <c r="H12" s="4"/>
      <c r="I12" s="4"/>
    </row>
    <row r="13" spans="1:3" x14ac:dyDescent="0.25">
      <c r="A13" t="s">
        <v>520</v>
      </c>
      <c r="B13" t="s">
        <v>521</v>
      </c>
      <c r="C13" t="s">
        <v>522</v>
      </c>
    </row>
    <row r="14" spans="1:3" x14ac:dyDescent="0.25">
      <c r="A14" t="s">
        <v>520</v>
      </c>
      <c r="B14" t="s">
        <v>523</v>
      </c>
      <c r="C14" t="s">
        <v>524</v>
      </c>
    </row>
    <row r="15" spans="1:3" x14ac:dyDescent="0.25">
      <c r="A15" t="s">
        <v>520</v>
      </c>
      <c r="B15" t="s">
        <v>525</v>
      </c>
      <c r="C15" t="s">
        <v>526</v>
      </c>
    </row>
    <row r="16" spans="1:1" x14ac:dyDescent="0.25">
      <c r="A16" s="2" t="s">
        <v>527</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ySplit="3" topLeftCell="A4" activePane="bottomLeft" state="frozen"/>
      <selection pane="bottomLeft"/>
    </sheetView>
  </sheetViews>
  <sheetFormatPr defaultRowHeight="15" outlineLevelRow="0" outlineLevelCol="0" x14ac:dyDescent="55"/>
  <cols>
    <col min="1" max="1" width="60" customWidth="1"/>
    <col min="2" max="2" width="28" customWidth="1"/>
    <col min="3" max="4" width="30" customWidth="1"/>
    <col min="5" max="5" width="24" customWidth="1"/>
    <col min="6" max="6" width="20" customWidth="1"/>
    <col min="7" max="7" width="70" customWidth="1"/>
    <col min="8" max="8" width="40" customWidth="1"/>
  </cols>
  <sheetData>
    <row r="1" spans="1:1" x14ac:dyDescent="0.25">
      <c r="A1" s="1" t="s">
        <v>528</v>
      </c>
    </row>
    <row r="2" spans="1:1" x14ac:dyDescent="0.25">
      <c r="A2" s="2" t="s">
        <v>529</v>
      </c>
    </row>
    <row r="4" spans="1:8" x14ac:dyDescent="0.25">
      <c r="A4" s="3" t="s">
        <v>530</v>
      </c>
      <c r="B4" s="4"/>
      <c r="C4" s="4"/>
      <c r="D4" s="4"/>
      <c r="E4" s="4"/>
      <c r="F4" s="4"/>
      <c r="G4" s="4"/>
      <c r="H4" s="4"/>
    </row>
    <row r="5" spans="1:10" x14ac:dyDescent="0.25">
      <c r="A5" s="8" t="s">
        <v>531</v>
      </c>
      <c r="B5" s="9" t="s">
        <v>409</v>
      </c>
      <c r="C5" s="9" t="s">
        <v>331</v>
      </c>
      <c r="D5" s="9" t="s">
        <v>187</v>
      </c>
      <c r="E5" s="9" t="s">
        <v>532</v>
      </c>
      <c r="F5" s="9" t="s">
        <v>10</v>
      </c>
      <c r="G5" s="9" t="s">
        <v>533</v>
      </c>
      <c r="H5" s="9" t="s">
        <v>502</v>
      </c>
      <c r="I5" s="9" t="s">
        <v>534</v>
      </c>
      <c r="J5" s="9" t="s">
        <v>535</v>
      </c>
    </row>
    <row r="6" spans="1:10" x14ac:dyDescent="0.25">
      <c r="A6" t="s">
        <v>536</v>
      </c>
      <c r="B6" t="s">
        <v>417</v>
      </c>
      <c r="C6" s="14">
        <v>5695</v>
      </c>
      <c r="D6" t="s">
        <v>537</v>
      </c>
      <c r="E6" t="s">
        <v>538</v>
      </c>
      <c r="F6" t="s">
        <v>539</v>
      </c>
      <c r="G6" t="s">
        <v>86</v>
      </c>
      <c r="H6" t="s">
        <v>7</v>
      </c>
      <c r="I6" t="s">
        <v>7</v>
      </c>
      <c r="J6" t="s">
        <v>540</v>
      </c>
    </row>
    <row r="7" spans="1:10" x14ac:dyDescent="0.25">
      <c r="A7" t="s">
        <v>541</v>
      </c>
      <c r="B7" t="s">
        <v>417</v>
      </c>
      <c r="C7" s="14">
        <v>2034</v>
      </c>
      <c r="D7" t="s">
        <v>537</v>
      </c>
      <c r="E7" t="s">
        <v>538</v>
      </c>
      <c r="F7" t="s">
        <v>539</v>
      </c>
      <c r="G7" t="s">
        <v>86</v>
      </c>
      <c r="H7" t="s">
        <v>7</v>
      </c>
      <c r="I7" t="s">
        <v>7</v>
      </c>
      <c r="J7" t="s">
        <v>7</v>
      </c>
    </row>
    <row r="8" spans="1:10" x14ac:dyDescent="0.25">
      <c r="A8" t="s">
        <v>542</v>
      </c>
      <c r="B8" t="s">
        <v>453</v>
      </c>
      <c r="C8" s="14">
        <v>6427</v>
      </c>
      <c r="D8" t="s">
        <v>537</v>
      </c>
      <c r="E8" t="s">
        <v>538</v>
      </c>
      <c r="F8" t="s">
        <v>539</v>
      </c>
      <c r="G8" t="s">
        <v>86</v>
      </c>
      <c r="H8" t="s">
        <v>7</v>
      </c>
      <c r="I8" t="s">
        <v>7</v>
      </c>
      <c r="J8" t="s">
        <v>540</v>
      </c>
    </row>
    <row r="9" spans="1:10" x14ac:dyDescent="0.25">
      <c r="A9" t="s">
        <v>543</v>
      </c>
      <c r="B9" t="s">
        <v>453</v>
      </c>
      <c r="C9" s="14">
        <v>2724</v>
      </c>
      <c r="D9" t="s">
        <v>537</v>
      </c>
      <c r="E9" t="s">
        <v>538</v>
      </c>
      <c r="F9" t="s">
        <v>539</v>
      </c>
      <c r="G9" t="s">
        <v>86</v>
      </c>
      <c r="H9" t="s">
        <v>7</v>
      </c>
      <c r="I9" t="s">
        <v>7</v>
      </c>
      <c r="J9" t="s">
        <v>7</v>
      </c>
    </row>
    <row r="10" spans="1:10" x14ac:dyDescent="0.25">
      <c r="A10" t="s">
        <v>544</v>
      </c>
      <c r="B10" t="s">
        <v>467</v>
      </c>
      <c r="C10" s="14">
        <v>7994</v>
      </c>
      <c r="D10" t="s">
        <v>537</v>
      </c>
      <c r="E10" t="s">
        <v>538</v>
      </c>
      <c r="F10" t="s">
        <v>539</v>
      </c>
      <c r="G10" t="s">
        <v>86</v>
      </c>
      <c r="H10" t="s">
        <v>7</v>
      </c>
      <c r="I10" t="s">
        <v>7</v>
      </c>
      <c r="J10" t="s">
        <v>540</v>
      </c>
    </row>
    <row r="11" spans="1:10" x14ac:dyDescent="0.25">
      <c r="A11" t="s">
        <v>545</v>
      </c>
      <c r="B11" t="s">
        <v>467</v>
      </c>
      <c r="C11" s="14">
        <v>4367</v>
      </c>
      <c r="D11" t="s">
        <v>537</v>
      </c>
      <c r="E11" t="s">
        <v>538</v>
      </c>
      <c r="F11" t="s">
        <v>539</v>
      </c>
      <c r="G11" t="s">
        <v>86</v>
      </c>
      <c r="H11" t="s">
        <v>7</v>
      </c>
      <c r="I11" t="s">
        <v>7</v>
      </c>
      <c r="J11" t="s">
        <v>7</v>
      </c>
    </row>
    <row r="12" spans="1:10" x14ac:dyDescent="0.25">
      <c r="A12" t="s">
        <v>546</v>
      </c>
      <c r="B12" t="s">
        <v>481</v>
      </c>
      <c r="C12" s="14">
        <v>8194</v>
      </c>
      <c r="D12" t="s">
        <v>537</v>
      </c>
      <c r="E12" t="s">
        <v>538</v>
      </c>
      <c r="F12" t="s">
        <v>539</v>
      </c>
      <c r="G12" t="s">
        <v>86</v>
      </c>
      <c r="H12" t="s">
        <v>7</v>
      </c>
      <c r="I12" t="s">
        <v>7</v>
      </c>
      <c r="J12" t="s">
        <v>540</v>
      </c>
    </row>
    <row r="13" spans="1:10" x14ac:dyDescent="0.25">
      <c r="A13" t="s">
        <v>547</v>
      </c>
      <c r="B13" t="s">
        <v>481</v>
      </c>
      <c r="C13" s="14">
        <v>4415</v>
      </c>
      <c r="D13" t="s">
        <v>537</v>
      </c>
      <c r="E13" t="s">
        <v>538</v>
      </c>
      <c r="F13" t="s">
        <v>539</v>
      </c>
      <c r="G13" t="s">
        <v>86</v>
      </c>
      <c r="H13" t="s">
        <v>7</v>
      </c>
      <c r="I13" t="s">
        <v>7</v>
      </c>
      <c r="J13" t="s">
        <v>7</v>
      </c>
    </row>
    <row r="15" spans="1:8" x14ac:dyDescent="0.25">
      <c r="A15" s="3" t="s">
        <v>548</v>
      </c>
      <c r="B15" s="4"/>
      <c r="C15" s="4"/>
      <c r="D15" s="4"/>
      <c r="E15" s="4"/>
      <c r="F15" s="4"/>
      <c r="G15" s="4"/>
      <c r="H15" s="4"/>
    </row>
    <row r="16" spans="1:7" x14ac:dyDescent="0.25">
      <c r="A16" s="8" t="s">
        <v>330</v>
      </c>
      <c r="B16" s="9" t="s">
        <v>549</v>
      </c>
      <c r="C16" s="9" t="s">
        <v>195</v>
      </c>
      <c r="D16" s="9" t="s">
        <v>550</v>
      </c>
      <c r="E16" s="9" t="s">
        <v>551</v>
      </c>
      <c r="F16" s="9" t="s">
        <v>552</v>
      </c>
      <c r="G16" s="9" t="s">
        <v>334</v>
      </c>
    </row>
    <row r="17" spans="1:7" x14ac:dyDescent="0.25">
      <c r="A17" t="s">
        <v>553</v>
      </c>
      <c r="B17" t="s">
        <v>554</v>
      </c>
      <c r="C17" t="s">
        <v>555</v>
      </c>
      <c r="D17" t="s">
        <v>7</v>
      </c>
      <c r="E17" t="s">
        <v>7</v>
      </c>
      <c r="F17" t="s">
        <v>7</v>
      </c>
      <c r="G17" t="s">
        <v>556</v>
      </c>
    </row>
    <row r="18" spans="1:7" x14ac:dyDescent="0.25">
      <c r="A18" t="s">
        <v>557</v>
      </c>
      <c r="B18" t="s">
        <v>558</v>
      </c>
      <c r="C18" t="s">
        <v>555</v>
      </c>
      <c r="D18" t="s">
        <v>7</v>
      </c>
      <c r="E18" t="s">
        <v>7</v>
      </c>
      <c r="F18" t="s">
        <v>7</v>
      </c>
      <c r="G18" t="s">
        <v>559</v>
      </c>
    </row>
    <row r="19" spans="1:7" x14ac:dyDescent="0.25">
      <c r="A19" t="s">
        <v>560</v>
      </c>
      <c r="B19" t="s">
        <v>561</v>
      </c>
      <c r="C19" t="s">
        <v>555</v>
      </c>
      <c r="D19" t="s">
        <v>7</v>
      </c>
      <c r="E19" t="s">
        <v>7</v>
      </c>
      <c r="F19" t="s">
        <v>7</v>
      </c>
      <c r="G19" t="s">
        <v>562</v>
      </c>
    </row>
    <row r="21" spans="1:8" x14ac:dyDescent="0.25">
      <c r="A21" s="3" t="s">
        <v>563</v>
      </c>
      <c r="B21" s="4"/>
      <c r="C21" s="4"/>
      <c r="D21" s="4"/>
      <c r="E21" s="4"/>
      <c r="F21" s="4"/>
      <c r="G21" s="4"/>
      <c r="H21" s="4"/>
    </row>
    <row r="22" spans="1:5" x14ac:dyDescent="0.25">
      <c r="A22" s="8" t="s">
        <v>564</v>
      </c>
      <c r="B22" s="9" t="s">
        <v>549</v>
      </c>
      <c r="C22" s="9" t="s">
        <v>565</v>
      </c>
      <c r="D22" s="9" t="s">
        <v>566</v>
      </c>
      <c r="E22" s="9" t="s">
        <v>567</v>
      </c>
    </row>
    <row r="23" spans="1:5" x14ac:dyDescent="0.25">
      <c r="A23" t="s">
        <v>568</v>
      </c>
      <c r="B23" t="s">
        <v>569</v>
      </c>
      <c r="C23" t="s">
        <v>570</v>
      </c>
      <c r="D23" t="s">
        <v>201</v>
      </c>
      <c r="E23" t="s">
        <v>571</v>
      </c>
    </row>
    <row r="25" spans="1:8" x14ac:dyDescent="0.25">
      <c r="A25" s="3" t="s">
        <v>572</v>
      </c>
      <c r="B25" s="4"/>
      <c r="C25" s="4"/>
      <c r="D25" s="4"/>
      <c r="E25" s="4"/>
      <c r="F25" s="4"/>
      <c r="G25" s="4"/>
      <c r="H25" s="4"/>
    </row>
    <row r="26" spans="1:2" x14ac:dyDescent="0.25">
      <c r="A26" s="5" t="s">
        <v>573</v>
      </c>
      <c r="B26" t="s">
        <v>574</v>
      </c>
    </row>
    <row r="27" spans="1:2" x14ac:dyDescent="0.25">
      <c r="A27" s="5" t="s">
        <v>59</v>
      </c>
      <c r="B27" t="s">
        <v>60</v>
      </c>
    </row>
    <row r="28" spans="1:2" x14ac:dyDescent="0.25">
      <c r="A28" s="5" t="s">
        <v>78</v>
      </c>
      <c r="B28" t="s">
        <v>60</v>
      </c>
    </row>
    <row r="29" spans="1:2" x14ac:dyDescent="0.25">
      <c r="A29" s="5" t="s">
        <v>8</v>
      </c>
      <c r="B29" t="s">
        <v>77</v>
      </c>
    </row>
    <row r="30" spans="1:2" x14ac:dyDescent="0.25">
      <c r="A30" s="5" t="s">
        <v>575</v>
      </c>
      <c r="B30" t="s">
        <v>576</v>
      </c>
    </row>
    <row r="31" spans="1:2" x14ac:dyDescent="0.25">
      <c r="A31" s="5" t="s">
        <v>10</v>
      </c>
      <c r="B31" t="s">
        <v>11</v>
      </c>
    </row>
    <row r="32" spans="1:2" x14ac:dyDescent="0.25">
      <c r="A32" s="5" t="s">
        <v>577</v>
      </c>
      <c r="B32" t="s">
        <v>578</v>
      </c>
    </row>
    <row r="33" spans="1:3" x14ac:dyDescent="0.25">
      <c r="A33" s="5" t="s">
        <v>579</v>
      </c>
      <c r="B33" t="s">
        <v>580</v>
      </c>
      <c r="C33" t="s">
        <v>581</v>
      </c>
    </row>
    <row r="34" spans="1:3" x14ac:dyDescent="0.25">
      <c r="A34" s="5" t="s">
        <v>579</v>
      </c>
      <c r="B34" t="s">
        <v>582</v>
      </c>
      <c r="C34" t="s">
        <v>583</v>
      </c>
    </row>
    <row r="35" spans="1:3" x14ac:dyDescent="0.25">
      <c r="A35" s="5" t="s">
        <v>579</v>
      </c>
      <c r="B35" t="s">
        <v>584</v>
      </c>
      <c r="C35" t="s">
        <v>585</v>
      </c>
    </row>
    <row r="36" spans="1:3" x14ac:dyDescent="0.25">
      <c r="A36" s="5" t="s">
        <v>579</v>
      </c>
      <c r="B36" t="s">
        <v>586</v>
      </c>
      <c r="C36" t="s">
        <v>587</v>
      </c>
    </row>
    <row r="37" spans="1:3" x14ac:dyDescent="0.25">
      <c r="A37" s="5" t="s">
        <v>579</v>
      </c>
      <c r="B37" t="s">
        <v>588</v>
      </c>
      <c r="C37" t="s">
        <v>589</v>
      </c>
    </row>
    <row r="38" spans="1:3" x14ac:dyDescent="0.25">
      <c r="A38" s="5" t="s">
        <v>579</v>
      </c>
      <c r="B38" t="s">
        <v>590</v>
      </c>
      <c r="C38" t="s">
        <v>591</v>
      </c>
    </row>
    <row r="39" spans="1:2" x14ac:dyDescent="0.25">
      <c r="A39" s="5" t="s">
        <v>592</v>
      </c>
      <c r="B39" t="s">
        <v>593</v>
      </c>
    </row>
    <row r="40" spans="1:2" x14ac:dyDescent="0.25">
      <c r="A40" s="5" t="s">
        <v>592</v>
      </c>
      <c r="B40" t="s">
        <v>594</v>
      </c>
    </row>
    <row r="42" spans="1:8" x14ac:dyDescent="0.25">
      <c r="A42" s="3" t="s">
        <v>595</v>
      </c>
      <c r="B42" s="4"/>
      <c r="C42" s="4"/>
      <c r="D42" s="4"/>
      <c r="E42" s="4"/>
      <c r="F42" s="4"/>
      <c r="G42" s="4"/>
      <c r="H42" s="4"/>
    </row>
    <row r="43" spans="1:1" x14ac:dyDescent="0.25">
      <c r="A43" s="2" t="s">
        <v>596</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48" customWidth="1"/>
    <col min="2" max="7" width="16" customWidth="1"/>
  </cols>
  <sheetData>
    <row r="1" spans="1:1" x14ac:dyDescent="0.25">
      <c r="A1" s="1" t="s">
        <v>597</v>
      </c>
    </row>
    <row r="2" spans="1:1" x14ac:dyDescent="0.25">
      <c r="A2" s="2" t="s">
        <v>598</v>
      </c>
    </row>
    <row r="4" spans="1:6" x14ac:dyDescent="0.25">
      <c r="A4" s="3" t="s">
        <v>599</v>
      </c>
      <c r="B4" s="4"/>
      <c r="C4" s="4"/>
      <c r="D4" s="4"/>
      <c r="E4" s="4"/>
      <c r="F4" s="4"/>
    </row>
    <row r="5" spans="1:1" x14ac:dyDescent="0.25">
      <c r="A5" s="2" t="s">
        <v>600</v>
      </c>
    </row>
  </sheetData>
  <pageMargins left="0.7" right="0.7" top="0.75" bottom="0.75" header="0.3" footer="0.3"/>
  <pageSetup orientation="portrait" horizontalDpi="4294967295" verticalDpi="4294967295" scale="100" fitToWidth="1" fitToHeight="1"/>
  <drawing r:id="rIdDrawing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Income Statement</vt:lpstr>
      <vt:lpstr>Balance Sheet</vt:lpstr>
      <vt:lpstr>Cash Flow</vt:lpstr>
      <vt:lpstr>Operating Drivers</vt:lpstr>
      <vt:lpstr>Valuation</vt:lpstr>
      <vt:lpstr>Peers</vt:lpstr>
      <vt:lpstr>Scenarios &amp; Assumptions</vt:lpstr>
      <vt:lpstr>Quarterly</vt:lpstr>
      <vt:lpstr>Common Size</vt:lpstr>
      <vt:lpstr>Schedules</vt:lpstr>
      <vt:lpstr>Facts</vt:lpstr>
      <vt:lpstr>Change Log</vt:lpstr>
      <vt:lpstr>Source Audit</vt:lpstr>
      <vt:lpstr>Chart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ASTRA Financial Model</dc:creator>
  <dc:title/>
  <dc:subject/>
  <dc:description/>
  <cp:keywords/>
  <cp:category/>
  <cp:lastModifiedBy>Unknown</cp:lastModifiedBy>
  <dcterms:created xsi:type="dcterms:W3CDTF">2026-11-01T15:04:41Z</dcterms:created>
  <dcterms:modified xsi:type="dcterms:W3CDTF">2026-11-01T15:04:41Z</dcterms:modified>
</cp:coreProperties>
</file>