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come Statement" state="visible" r:id="rId5"/>
    <sheet sheetId="3" name="Balance Sheet" state="visible" r:id="rId6"/>
    <sheet sheetId="4" name="Cash Flow" state="visible" r:id="rId7"/>
    <sheet sheetId="5" name="Operating Drivers" state="visible" r:id="rId8"/>
    <sheet sheetId="6" name="Valuation" state="visible" r:id="rId9"/>
    <sheet sheetId="7" name="Peers" state="visible" r:id="rId10"/>
    <sheet sheetId="8" name="Scenarios &amp; Assumptions" state="visible" r:id="rId11"/>
    <sheet sheetId="9" name="Quarterly" state="visible" r:id="rId12"/>
    <sheet sheetId="10" name="Common Size" state="visible" r:id="rId13"/>
    <sheet sheetId="11" name="Schedules" state="visible" r:id="rId14"/>
    <sheet sheetId="12" name="Facts" state="visible" r:id="rId15"/>
    <sheet sheetId="13" name="Change Log" state="visible" r:id="rId16"/>
    <sheet sheetId="14" name="Source Audit" state="visible" r:id="rId17"/>
    <sheet sheetId="15" name="Chart Data" state="visible" r:id="rId18"/>
  </sheets>
  <definedNames>
    <definedName name="FairValuePerShare">Valuation!$B$6</definedName>
    <definedName name="CurrentPrice">Valuation!$B$7</definedName>
    <definedName name="UpsidePct">Valuation!$B$8</definedName>
    <definedName name="WACC_Pct">Valuation!$B$19</definedName>
    <definedName name="SnapshotId">Summary!$B$42</definedName>
    <definedName name="SnapshotHash">Summary!$B$43</definedName>
    <definedName name="Years_Header">'Income Statement'!$B$4:$J$4</definedName>
    <definedName name="Revenue_Series">'Income Statement'!$B$5:$J$5</definedName>
    <definedName name="EBITDA_Series">'Income Statement'!$B$10:$J$10</definedName>
    <definedName name="NetIncome_Series">'Income Statement'!$B$20:$J$20</definedName>
    <definedName name="EPS_Series">'Income Statement'!$B$25:$J$25</definedName>
    <definedName name="CFO_Series">'Cash Flow'!$B$13:$J$13</definedName>
    <definedName name="Capex_Series">'Cash Flow'!$B$15:$J$15</definedName>
  </definedNames>
  <calcPr calcId="171027" fullCalcOnLoad="1"/>
</workbook>
</file>

<file path=xl/sharedStrings.xml><?xml version="1.0" encoding="utf-8"?>
<sst xmlns="http://schemas.openxmlformats.org/spreadsheetml/2006/main" count="2447" uniqueCount="700">
  <si>
    <t>Bharti Airtel Limited (BHARTIARTL.NS)</t>
  </si>
  <si>
    <t>Telecommunications &amp; Digital Network Infrastructure . NSE . base period FY26 . ₹ Crores unless stated</t>
  </si>
  <si>
    <t>VALUATION AND DECISION</t>
  </si>
  <si>
    <t>Current price (INR)</t>
  </si>
  <si>
    <t>Fair value per share (INR)</t>
  </si>
  <si>
    <t>Upside / (downside)</t>
  </si>
  <si>
    <t>Primary method</t>
  </si>
  <si>
    <t>FCFF_DCF_3STAGE - 3-Stage FCFF DCF (100%)</t>
  </si>
  <si>
    <t>Confidence</t>
  </si>
  <si>
    <t>MEDIUM</t>
  </si>
  <si>
    <t>Status</t>
  </si>
  <si>
    <t>Telecommunications &amp; Digital Network Infrastructure valued via FCFF_DCF_3STAGE. 59/59 accounting invariants passed; reasonableness verdict REQUIRES_ANALYST_JUSTIFICATION.</t>
  </si>
  <si>
    <t>KEY FINANCIALS (₹ Crores)</t>
  </si>
  <si>
    <t>Source sheet</t>
  </si>
  <si>
    <t>FY23A</t>
  </si>
  <si>
    <t>FY24A</t>
  </si>
  <si>
    <t>FY25A</t>
  </si>
  <si>
    <t>FY26A</t>
  </si>
  <si>
    <t>FY27E</t>
  </si>
  <si>
    <t>FY28E</t>
  </si>
  <si>
    <t>FY29E</t>
  </si>
  <si>
    <t>FY30E</t>
  </si>
  <si>
    <t>FY31E</t>
  </si>
  <si>
    <t>Revenue from operations</t>
  </si>
  <si>
    <t>Income Statement</t>
  </si>
  <si>
    <t>n/a</t>
  </si>
  <si>
    <t>EBITDA</t>
  </si>
  <si>
    <t>EBITDA margin</t>
  </si>
  <si>
    <t>Net income</t>
  </si>
  <si>
    <t>Diluted EPS (INR)</t>
  </si>
  <si>
    <t>Free cash flow (CFO - CapEx)</t>
  </si>
  <si>
    <t>Cash Flow</t>
  </si>
  <si>
    <t>Return on equity</t>
  </si>
  <si>
    <t>engine ratio</t>
  </si>
  <si>
    <t>RELATIVE POSITION (subject vs peer median; detail on the Peers sheet)</t>
  </si>
  <si>
    <t>Metric</t>
  </si>
  <si>
    <t>Subject</t>
  </si>
  <si>
    <t>Peer median</t>
  </si>
  <si>
    <t>Peers (n)</t>
  </si>
  <si>
    <t>P/E</t>
  </si>
  <si>
    <t>EV/EBITDA</t>
  </si>
  <si>
    <t>P/B</t>
  </si>
  <si>
    <t>FCF yield</t>
  </si>
  <si>
    <t>ROE</t>
  </si>
  <si>
    <t>RISKS AND INVALIDATORS</t>
  </si>
  <si>
    <t>- Withheld: Linked three-statement forecast</t>
  </si>
  <si>
    <t>- Withheld: Segment analysis</t>
  </si>
  <si>
    <t>- Withheld: Line-by-line statutory statements</t>
  </si>
  <si>
    <t>- Withheld: Audited-filing statements</t>
  </si>
  <si>
    <t>- Market expectation: balanced realistic expectations (implied growth 15.4% vs model 14.88%)</t>
  </si>
  <si>
    <t>Every figure on this sheet links to its source sheet; nothing is calculated here. Formulas appear only where they reproduce the engine's own figure.</t>
  </si>
  <si>
    <t>Research only; not investment advice. A withheld, low-confidence or experimental output says so rather than offering a number.</t>
  </si>
  <si>
    <t>EXPORT SNAPSHOT (one immutable analysis behind every export of this model)</t>
  </si>
  <si>
    <t>Snapshot ID</t>
  </si>
  <si>
    <t>snap_BHARTIARTL_NS_24392f289409</t>
  </si>
  <si>
    <t>Snapshot SHA-256</t>
  </si>
  <si>
    <t>24392f289409666d0e762d32625c202a7f04b9ccbc4e042222fa8ae2b255fd9e</t>
  </si>
  <si>
    <t>Built at</t>
  </si>
  <si>
    <t>2026-11-01T14:58:12.989Z</t>
  </si>
  <si>
    <t>Analysis status</t>
  </si>
  <si>
    <t>SUCCESS</t>
  </si>
  <si>
    <t>Price</t>
  </si>
  <si>
    <t>INR 1973.7</t>
  </si>
  <si>
    <t>Price as of</t>
  </si>
  <si>
    <t>2026-10-30T00:00:00.000Z</t>
  </si>
  <si>
    <t>Price stale</t>
  </si>
  <si>
    <t>false</t>
  </si>
  <si>
    <t>Price source</t>
  </si>
  <si>
    <t>NSE official close (UDiFF bhavcopy) + Screener.in structured dataset</t>
  </si>
  <si>
    <t>Assumptions SHA-256</t>
  </si>
  <si>
    <t>74234e98afe7498fb5daf1f36ac2d78acc339464f950703b8c019892f982b90b</t>
  </si>
  <si>
    <t>Engine git commit</t>
  </si>
  <si>
    <t>b7b86361d20c284ad0ff81aeacf46cd8392fc168+uncommitted</t>
  </si>
  <si>
    <t>Valuation engine version</t>
  </si>
  <si>
    <t>2.0.0</t>
  </si>
  <si>
    <t>Monte Carlo</t>
  </si>
  <si>
    <t>20000 iterations, seed 133742, P50 1364.5</t>
  </si>
  <si>
    <t>FCFF_DCF_3STAGE</t>
  </si>
  <si>
    <t>Valuation status</t>
  </si>
  <si>
    <t>VALID</t>
  </si>
  <si>
    <t>Fair value per share</t>
  </si>
  <si>
    <t>2359.67</t>
  </si>
  <si>
    <t>Upside / (downside) %</t>
  </si>
  <si>
    <t>19.56</t>
  </si>
  <si>
    <t>v1 formula-trace coverage % (a different measure from "figures that reconcile" in the run-status table)</t>
  </si>
  <si>
    <t>88.9</t>
  </si>
  <si>
    <t>Audit status / test status</t>
  </si>
  <si>
    <t>WARNINGS / NOT_EVALUATED</t>
  </si>
  <si>
    <t>Source documents</t>
  </si>
  <si>
    <t>Screener.in structured statements (Consolidated; secondary aggregator)</t>
  </si>
  <si>
    <t>Income Statement (₹ Crores)</t>
  </si>
  <si>
    <t>Bharti Airtel Limited (BHARTIARTL.NS) . Consolidated . base period FY26</t>
  </si>
  <si>
    <t>A = reported . E = forecast . "n/a" = the source does not carry the line (never zero)</t>
  </si>
  <si>
    <t xml:space="preserve">  growth (%)</t>
  </si>
  <si>
    <t xml:space="preserve">  Employee benefit expenses</t>
  </si>
  <si>
    <t xml:space="preserve">  Other operating expenses</t>
  </si>
  <si>
    <t>Total operating expenses</t>
  </si>
  <si>
    <t>EBITDA (operating profit before D&amp;A)</t>
  </si>
  <si>
    <t xml:space="preserve">  EBITDA margin (%)</t>
  </si>
  <si>
    <t xml:space="preserve">  Depreciation &amp; amortisation</t>
  </si>
  <si>
    <t>EBIT (operating profit)</t>
  </si>
  <si>
    <t xml:space="preserve">  EBIT margin (%)</t>
  </si>
  <si>
    <t xml:space="preserve">  Other non-operating income</t>
  </si>
  <si>
    <t xml:space="preserve">  Finance costs</t>
  </si>
  <si>
    <t xml:space="preserve">  Exceptional items (before tax; charge negative)</t>
  </si>
  <si>
    <t>Profit before tax</t>
  </si>
  <si>
    <t xml:space="preserve">  Tax expense</t>
  </si>
  <si>
    <t>Net income / profit after tax</t>
  </si>
  <si>
    <t xml:space="preserve">  net margin (%)</t>
  </si>
  <si>
    <t xml:space="preserve">  Minority interest</t>
  </si>
  <si>
    <t>Profit attributable to shareholders</t>
  </si>
  <si>
    <t xml:space="preserve">  Diluted shares (crore)</t>
  </si>
  <si>
    <t>Balance Sheet (₹ Crores)</t>
  </si>
  <si>
    <t>CURRENT ASSETS</t>
  </si>
  <si>
    <t xml:space="preserve">  Cash and cash equivalents</t>
  </si>
  <si>
    <t xml:space="preserve">  Short-term investments</t>
  </si>
  <si>
    <t xml:space="preserve">  Trade receivables</t>
  </si>
  <si>
    <t xml:space="preserve">  Inventories</t>
  </si>
  <si>
    <t xml:space="preserve">  Other current assets</t>
  </si>
  <si>
    <t>Total current assets</t>
  </si>
  <si>
    <t>NON-CURRENT ASSETS</t>
  </si>
  <si>
    <t xml:space="preserve">  Property, plant &amp; equipment (net)</t>
  </si>
  <si>
    <t xml:space="preserve">  Intangibles &amp; goodwill</t>
  </si>
  <si>
    <t xml:space="preserve">  Non-current investments</t>
  </si>
  <si>
    <t xml:space="preserve">  Other non-current assets</t>
  </si>
  <si>
    <t>Total non-current assets</t>
  </si>
  <si>
    <t>TOTAL ASSETS</t>
  </si>
  <si>
    <t>CURRENT LIABILITIES</t>
  </si>
  <si>
    <t xml:space="preserve">  Trade payables</t>
  </si>
  <si>
    <t xml:space="preserve">  Short-term borrowings</t>
  </si>
  <si>
    <t xml:space="preserve">  Other current liabilities</t>
  </si>
  <si>
    <t>Total current liabilities</t>
  </si>
  <si>
    <t>NON-CURRENT LIABILITIES</t>
  </si>
  <si>
    <t xml:space="preserve">  Long-term debt</t>
  </si>
  <si>
    <t xml:space="preserve">  Lease liabilities</t>
  </si>
  <si>
    <t xml:space="preserve">  Deferred tax liabilities</t>
  </si>
  <si>
    <t xml:space="preserve">  Other non-current liabilities</t>
  </si>
  <si>
    <t>Total non-current liabilities</t>
  </si>
  <si>
    <t>TOTAL LIABILITIES</t>
  </si>
  <si>
    <t>EQUITY</t>
  </si>
  <si>
    <t xml:space="preserve">  Share capital</t>
  </si>
  <si>
    <t xml:space="preserve">  Reserves &amp; surplus</t>
  </si>
  <si>
    <t xml:space="preserve">  Other equity</t>
  </si>
  <si>
    <t xml:space="preserve">  Non-controlling interests</t>
  </si>
  <si>
    <t>TOTAL EQUITY</t>
  </si>
  <si>
    <t>TOTAL LIABILITIES AND EQUITY</t>
  </si>
  <si>
    <t>Balance check (assets - liabilities - equity)</t>
  </si>
  <si>
    <t>Cash Flow (₹ Crores)</t>
  </si>
  <si>
    <t>OPERATING ACTIVITIES</t>
  </si>
  <si>
    <t xml:space="preserve">  Net income</t>
  </si>
  <si>
    <t xml:space="preserve">  Other non-cash adjustments</t>
  </si>
  <si>
    <t xml:space="preserve">  Change in trade receivables</t>
  </si>
  <si>
    <t xml:space="preserve">  Change in inventories</t>
  </si>
  <si>
    <t xml:space="preserve">  Change in trade payables</t>
  </si>
  <si>
    <t xml:space="preserve">  Change in other working capital</t>
  </si>
  <si>
    <t>Cash from operations (CFO)</t>
  </si>
  <si>
    <t>INVESTING ACTIVITIES</t>
  </si>
  <si>
    <t xml:space="preserve">  Capital expenditure</t>
  </si>
  <si>
    <t xml:space="preserve">  Net purchase / sale of investments</t>
  </si>
  <si>
    <t xml:space="preserve">  Other investing activities</t>
  </si>
  <si>
    <t>Cash from investing (CFI)</t>
  </si>
  <si>
    <t>FINANCING ACTIVITIES</t>
  </si>
  <si>
    <t xml:space="preserve">  Debt issued / (repaid)</t>
  </si>
  <si>
    <t xml:space="preserve">  Dividends paid</t>
  </si>
  <si>
    <t xml:space="preserve">  Share issuance / (repurchase)</t>
  </si>
  <si>
    <t xml:space="preserve">  Lease payments &amp; other financing</t>
  </si>
  <si>
    <t>Cash from financing (CFF)</t>
  </si>
  <si>
    <t>Net change in cash</t>
  </si>
  <si>
    <t xml:space="preserve">  Opening cash</t>
  </si>
  <si>
    <t>Closing cash</t>
  </si>
  <si>
    <t>FREE CASH FLOW (CFO - CapEx; CapEx a positive outflow; INR crore)</t>
  </si>
  <si>
    <t>Free cash flow (FCF)</t>
  </si>
  <si>
    <t xml:space="preserve">  FCF margin (FCF / revenue)</t>
  </si>
  <si>
    <t xml:space="preserve">  FCF conversion (FCF / net income)</t>
  </si>
  <si>
    <t>Operating Drivers</t>
  </si>
  <si>
    <t>The economic drivers the forecast is built from: what history shows, what the model assumes, and why. To change a driver, use the Model Builder in the application: it rebuilds the model and re-exports (a rebuilt state is labelled).</t>
  </si>
  <si>
    <t>Driver</t>
  </si>
  <si>
    <t>Revenue growth</t>
  </si>
  <si>
    <t>Employee cost (% of revenue)</t>
  </si>
  <si>
    <t>Other operating expenses (% of revenue)</t>
  </si>
  <si>
    <t>Effective tax rate</t>
  </si>
  <si>
    <t>Receivable days</t>
  </si>
  <si>
    <t>Inventory days</t>
  </si>
  <si>
    <t>Payable days</t>
  </si>
  <si>
    <t>Capex (% of revenue)</t>
  </si>
  <si>
    <t>Dividend payout ratio</t>
  </si>
  <si>
    <t>This issuer has no linked three-statement driver set; the drivers above are the legacy forecast assumptions as published.</t>
  </si>
  <si>
    <t>Revenue driver (provenance of the topline)</t>
  </si>
  <si>
    <t>Basis</t>
  </si>
  <si>
    <t>NOT_APPLICABLE: no sector volume x price driver; revenue grows on own reported history</t>
  </si>
  <si>
    <t>Unit</t>
  </si>
  <si>
    <t>Provenance</t>
  </si>
  <si>
    <t>Revenue growth from this company's own reported history. Sector volume x price driver UNAVAILABLE [SECTOR_DRIVER_DATA_UNAVAILABLE] for TELECOM: Wireless Revenue = Subscribers (Million) * ARPU (INR/month) * 12 / 10 needs sourced Wireless Subscriber Base and Average Revenue Per User (ARPU). Not held for BHARTIARTL.NS: wireless_subscribers_million, arpu_inr_month. Note: subscribers x ARPU prices the wireless line only; consolidated revenue includes lines that equation does not cover, so it cannot reconcile to the entity. No volume, price or growth is inferred.</t>
  </si>
  <si>
    <t>Valuation</t>
  </si>
  <si>
    <t>One primary method, routed by the company's economics; the rest are cross-checks and are never averaged into it. A withheld valuation states why and publishes no value.</t>
  </si>
  <si>
    <t>PRIMARY VALUATION</t>
  </si>
  <si>
    <t>Method</t>
  </si>
  <si>
    <t>Confidence of the primary method as stated by the model (MEDIUM).</t>
  </si>
  <si>
    <t>Price basis</t>
  </si>
  <si>
    <t>NSE official close of 2026-10-30</t>
  </si>
  <si>
    <t>3-Stage FCFF DCF (Economic ROIC Fade): free cash flow to firm and enterprise-to-equity bridge (INR crore)</t>
  </si>
  <si>
    <t>FY32E</t>
  </si>
  <si>
    <t>FY33E</t>
  </si>
  <si>
    <t>FY34E</t>
  </si>
  <si>
    <t>FY35E</t>
  </si>
  <si>
    <t>FY36E</t>
  </si>
  <si>
    <t>FCFF</t>
  </si>
  <si>
    <t>Stage</t>
  </si>
  <si>
    <t>EXPLICIT</t>
  </si>
  <si>
    <t>FADE</t>
  </si>
  <si>
    <t>WACC (%)</t>
  </si>
  <si>
    <t>Terminal growth (%)</t>
  </si>
  <si>
    <t>PV of explicit-period FCFF</t>
  </si>
  <si>
    <t>PV of terminal value</t>
  </si>
  <si>
    <t>Enterprise value</t>
  </si>
  <si>
    <t>Less: net debt (borrowings + preferred - cash)</t>
  </si>
  <si>
    <t>Less: lease liabilities</t>
  </si>
  <si>
    <t>Less: minority interest</t>
  </si>
  <si>
    <t>Plus: non-operating investments at book (non-current + equity-method)</t>
  </si>
  <si>
    <t>Equity value</t>
  </si>
  <si>
    <t>Shares (crore)</t>
  </si>
  <si>
    <t>METHOD RANGES (INR per share) -- cross-checks beside the primary method</t>
  </si>
  <si>
    <t>Low</t>
  </si>
  <si>
    <t>Base</t>
  </si>
  <si>
    <t>High</t>
  </si>
  <si>
    <t>Weight %</t>
  </si>
  <si>
    <t>Role</t>
  </si>
  <si>
    <t>3-Stage FCFF DCF (ROIC Fade)</t>
  </si>
  <si>
    <t>PRIMARY</t>
  </si>
  <si>
    <t>2-Stage FCFF DCF (Gordon Growth)</t>
  </si>
  <si>
    <t>cross-check</t>
  </si>
  <si>
    <t>Exit Multiple DCF (10.5x EV/EBITDA)</t>
  </si>
  <si>
    <t>Peer Trading Comps (25.8x trailing P/E; EV/EBITDA route withheld)</t>
  </si>
  <si>
    <t>MARKET CROSS-CHECKS</t>
  </si>
  <si>
    <t>Trading comparables (implied price)</t>
  </si>
  <si>
    <t>Reverse valuation (what the price implies)</t>
  </si>
  <si>
    <t>AVAILABLE</t>
  </si>
  <si>
    <t>At 1973.70 (NSE official close (UDiFF bhavcopy) + Screener.in structured dataset, as of 2026-10-30) the market prices in a 10-year FCFF growth rate of 15.40% against a bottom-up fundamental base case of 14.88%, a gap of +52 bps. Discounted at 10.00% with 5.00% perpetual growth (mid-year convention). This describes market EXPECTATIONS, not fair value.</t>
  </si>
  <si>
    <t>NOT MEASURED -- stated, bounded where a bound exists, never filled</t>
  </si>
  <si>
    <t>Item</t>
  </si>
  <si>
    <t>Direction</t>
  </si>
  <si>
    <t>Bound (INR/share)</t>
  </si>
  <si>
    <t>Why</t>
  </si>
  <si>
    <t>Linked three-statement forecast</t>
  </si>
  <si>
    <t>withheld</t>
  </si>
  <si>
    <t>the reported FY26 balance sheet does not balance as opened (assets 545373 vs liabilities + equity 389484 Cr); no forecast is built on it</t>
  </si>
  <si>
    <t>Segment analysis</t>
  </si>
  <si>
    <t>no Ind AS 108 segment disclosure was read for this issuer and the provider published no split</t>
  </si>
  <si>
    <t>Line-by-line statutory statements</t>
  </si>
  <si>
    <t>no audited statutory XBRL filing was served for this issuer; the statements are not laid out line by line</t>
  </si>
  <si>
    <t>Audited-filing statements</t>
  </si>
  <si>
    <t>The statements are a secondary tier's (SCREENER_INDIA); NSE corporate actions: RIGHTS_BLOCKED: NSE session-cookie API is paused by the owner pending legal review (nseSessionCookie); set ASTRA_ALLOW_NSE_SESSION_API=1 only after that review | NSE audited XBRL: NSE filing index unreachable: RIGHTS_BLOCKED: NSE session-cookie API is paused by the owner pending legal review (nseSessionCookie); set ASTRA_ALLOW_NSE_SESSION_API=1 only after that review.</t>
  </si>
  <si>
    <t>Peers</t>
  </si>
  <si>
    <t>One peer payload, one statistic definition: the median is the headline; quartiles and the sample size sit beside it. Outliers (Tukey fences, 5+ peers) are shown struck from the statistics and listed. Statistics are live formulas over the peer cells.</t>
  </si>
  <si>
    <t>Whole-company comparable set . 2 peer(s) . analyst-defined TELECOM universe, subject excluded</t>
  </si>
  <si>
    <t>Listed Indian telecom operators (a small set: Jio sits inside RELIANCE, BSNL is unlisted, tower companies are not operators).</t>
  </si>
  <si>
    <t>Basis: P/E and P/B for the subject and every peer are the provider's own figures, not recomputed from the model's FY26 EPS and BVPS, so the subject can differ from price / FY26 EPS (provider EPS and book-value dates are not stated by the provider).</t>
  </si>
  <si>
    <t>Company</t>
  </si>
  <si>
    <t>Comparability</t>
  </si>
  <si>
    <t>EV/EBIT</t>
  </si>
  <si>
    <t>EV/Sales</t>
  </si>
  <si>
    <t>FCF yield %</t>
  </si>
  <si>
    <t>Div. yield %</t>
  </si>
  <si>
    <t>ROIC %</t>
  </si>
  <si>
    <t>ROE %</t>
  </si>
  <si>
    <t>EBITDA margin %</t>
  </si>
  <si>
    <t>FCF margin %</t>
  </si>
  <si>
    <t>Cash conv. %</t>
  </si>
  <si>
    <t>Net debt/EBITDA</t>
  </si>
  <si>
    <t>Interest cover</t>
  </si>
  <si>
    <t>BHARTIARTL.NS (subject)</t>
  </si>
  <si>
    <t>subject</t>
  </si>
  <si>
    <t>IDEA.NS</t>
  </si>
  <si>
    <t>HIGH (4/5)</t>
  </si>
  <si>
    <t>TATACOMM.NS</t>
  </si>
  <si>
    <t>MEDIUM (3/4)</t>
  </si>
  <si>
    <t>25th percentile</t>
  </si>
  <si>
    <t>75th percentile</t>
  </si>
  <si>
    <t>Mean</t>
  </si>
  <si>
    <t>Peers used (n)</t>
  </si>
  <si>
    <t>Sample state</t>
  </si>
  <si>
    <t>INSUFFICIENT PEERS</t>
  </si>
  <si>
    <t>Subject vs median (%)</t>
  </si>
  <si>
    <t>mean / median / p25 / p75 use linear-interpolation quantiles (spreadsheet QUARTILE.INC / MEDIAN); non-finite values are dropped, never zeroed; a duplicated peer counts once. Tukey fences (Q1 - 1.5 x IQR, Q3 + 1.5 x IQR) applied only with 5 or more values; outliers are excluded from the statistics and listed.</t>
  </si>
  <si>
    <t>FCF = CFO - CapEx (latest annual fiscal year, INR crore, CapEx a positive outflow); FCF margin = FCF / revenue; FCF conversion = FCF / net profit; FCF yield = FCF / market cap; FCFE = FCF + net borrowing (needs both borrowing balances); FCF CAGR over 3 fiscal years needs both endpoints &gt; 0. Regulated financials carry no corporate FCF.</t>
  </si>
  <si>
    <t>Scenarios &amp; Assumptions</t>
  </si>
  <si>
    <t>What would change the answer: scenarios, the discount-rate / growth grid, what the price implies, and the assumptions and limits behind it.</t>
  </si>
  <si>
    <t>SENSITIVITY: implied value per share (INR) -- WACC (%) down, Terminal Growth Rate (%) across</t>
  </si>
  <si>
    <t>WACC (%) \ Terminal Growth Rate (%)</t>
  </si>
  <si>
    <t>3.5%</t>
  </si>
  <si>
    <t>4%</t>
  </si>
  <si>
    <t>4.5%</t>
  </si>
  <si>
    <t>5%</t>
  </si>
  <si>
    <t>5.5%</t>
  </si>
  <si>
    <t>6%</t>
  </si>
  <si>
    <t>8.5%</t>
  </si>
  <si>
    <t>9%</t>
  </si>
  <si>
    <t>9.5%</t>
  </si>
  <si>
    <t>10%</t>
  </si>
  <si>
    <t>10.5%</t>
  </si>
  <si>
    <t>11%</t>
  </si>
  <si>
    <t>REVERSE VALUATION: what the current price implies (expectations, not fair value)</t>
  </si>
  <si>
    <t>Market price (INR)</t>
  </si>
  <si>
    <t>Implied 10-year revenue growth (CAGR %)</t>
  </si>
  <si>
    <t>Model base-case revenue growth (CAGR %)</t>
  </si>
  <si>
    <t>Expectation gap (bps)</t>
  </si>
  <si>
    <t>Implied terminal ROIC (%)</t>
  </si>
  <si>
    <t>Verdict</t>
  </si>
  <si>
    <t>balanced realistic expectations</t>
  </si>
  <si>
    <t>MONTE CARLO (20000 valid paths, seed 133742): distribution of value per share (INR)</t>
  </si>
  <si>
    <t>P5</t>
  </si>
  <si>
    <t>P25</t>
  </si>
  <si>
    <t>P50</t>
  </si>
  <si>
    <t>P75</t>
  </si>
  <si>
    <t>P95</t>
  </si>
  <si>
    <t>P(value &gt; price) %</t>
  </si>
  <si>
    <t>ASSUMPTIONS APPLIED</t>
  </si>
  <si>
    <t>Base case: no user override. Every driver is the history-derived recommendation or a disclosed model policy.</t>
  </si>
  <si>
    <t>Risk-free rate (%)</t>
  </si>
  <si>
    <t>Beta</t>
  </si>
  <si>
    <t>Equity risk premium (%)</t>
  </si>
  <si>
    <t>Cost of equity (%)</t>
  </si>
  <si>
    <t>After-tax cost of debt (%)</t>
  </si>
  <si>
    <t>Discount rate used by the primary method. Risk-free source: Reserve Bank of India 10-Yr G-Sec Benchmark Yield (7.10 GS 2034) (dated reference snapshot as of 2026-08-28; not read live) (REFERENCE_SNAPSHOT).</t>
  </si>
  <si>
    <t>MANAGEMENT GUIDANCE</t>
  </si>
  <si>
    <t>No verified guidance: FMB's guidance registry holds no sourced item for this company. Nothing is assumed or filled in.</t>
  </si>
  <si>
    <t>LIMITS AND SOURCE NOTES</t>
  </si>
  <si>
    <t>Statements: Consolidated annual figures; INR crore; fiscal year ending March. Period-length differences are normalised once and disclosed.</t>
  </si>
  <si>
    <t>Price: NSE official close of 2026-10-30.</t>
  </si>
  <si>
    <t>Peer statistics are computed from the same provider extractor for the subject and every peer; see the Peers sheet for the statistic definition.</t>
  </si>
  <si>
    <t>Withheld: Linked three-statement forecast -- the reported FY26 balance sheet does not balance as opened (assets 545373 vs liabilities + equity 389484 Cr); no forecast is built on it</t>
  </si>
  <si>
    <t>Withheld: Segment analysis -- no Ind AS 108 segment disclosure was read for this issuer and the provider published no split</t>
  </si>
  <si>
    <t>Withheld: Line-by-line statutory statements -- no audited statutory XBRL filing was served for this issuer; the statements are not laid out line by line</t>
  </si>
  <si>
    <t>Withheld: Audited-filing statements -- The statements are a secondary tier's (SCREENER_INDIA); NSE corporate actions: RIGHTS_BLOCKED: NSE session-cookie API is paused by the owner pending legal review (nseSessionCookie); set ASTRA_ALLOW_NSE_SESSION_API=1 only after that review | NSE audited XBRL: NSE filing index unreachable: RIGHTS_BLOCKED: NSE session-cookie API is paused by the owner pending legal review (nseSessionCookie); set ASTRA_ALLOW_NSE_SESSION_API=1 only after that review.</t>
  </si>
  <si>
    <t>DATA LEGEND</t>
  </si>
  <si>
    <t>REPORTED</t>
  </si>
  <si>
    <t>Read from an audited filing or a statutory disclosure, unchanged.</t>
  </si>
  <si>
    <t>DERIVED</t>
  </si>
  <si>
    <t>Computed from reported figures by a stated formula. Not itself reported.</t>
  </si>
  <si>
    <t>FORECAST</t>
  </si>
  <si>
    <t>The model's projection for a future period. No reported figure exists.</t>
  </si>
  <si>
    <t>USER INPUT</t>
  </si>
  <si>
    <t>An analyst override of the model’s assumption for this run.</t>
  </si>
  <si>
    <t>STALE</t>
  </si>
  <si>
    <t>A real observation that is no longer current. Not the same as unavailable.</t>
  </si>
  <si>
    <t>UNAVAILABLE</t>
  </si>
  <si>
    <t>The evidence does not exist, or could not be obtained. Nothing is substituted.</t>
  </si>
  <si>
    <t>N/A</t>
  </si>
  <si>
    <t>The concept does not apply to this issuer or archetype. There is no number to miss.</t>
  </si>
  <si>
    <t>Quarterly statements (INR crore, as filed)</t>
  </si>
  <si>
    <t>Read from each quarter's own filed XBRL (the three-month column; the year-to-date column is never used as a quarter). Unaudited except the March quarter.</t>
  </si>
  <si>
    <t>UNAVAILABLE: NSE quarterly listing unreachable: RIGHTS_BLOCKED: NSE session-cookie API is paused by the owner pending legal review (nseSessionCookie); set ASTRA_ALLOW_NSE_SESSION_API=1 only after that review. No quarterly figure is estimated or interpolated.</t>
  </si>
  <si>
    <t>Common-size statements, ratios, DuPont and forensic screens</t>
  </si>
  <si>
    <t>Common-size lines are live formulas over the statement sheets (line / revenue, line / total assets). Ratios, DuPont and the scores are the engine's published figures.</t>
  </si>
  <si>
    <t>INCOME STATEMENT AS % OF REVENUE (reported and forecast)</t>
  </si>
  <si>
    <t>% of revenue</t>
  </si>
  <si>
    <t>Revenue</t>
  </si>
  <si>
    <t>Employee benefit expenses</t>
  </si>
  <si>
    <t>Other operating expenses</t>
  </si>
  <si>
    <t>Depreciation &amp; amortisation</t>
  </si>
  <si>
    <t>EBIT</t>
  </si>
  <si>
    <t>Other income</t>
  </si>
  <si>
    <t>Finance costs</t>
  </si>
  <si>
    <t>Tax</t>
  </si>
  <si>
    <t>BALANCE SHEET AS % OF TOTAL ASSETS</t>
  </si>
  <si>
    <t>% of total assets</t>
  </si>
  <si>
    <t>Cash</t>
  </si>
  <si>
    <t>Trade receivables</t>
  </si>
  <si>
    <t>Inventories</t>
  </si>
  <si>
    <t>Current assets</t>
  </si>
  <si>
    <t>PPE (net)</t>
  </si>
  <si>
    <t>Intangibles &amp; goodwill</t>
  </si>
  <si>
    <t>Non-current investments</t>
  </si>
  <si>
    <t>Total assets</t>
  </si>
  <si>
    <t>Trade payables</t>
  </si>
  <si>
    <t>Short-term borrowings</t>
  </si>
  <si>
    <t>Long-term debt</t>
  </si>
  <si>
    <t>Total liabilities</t>
  </si>
  <si>
    <t>Total equity</t>
  </si>
  <si>
    <t>RETURNS AND DUPONT (reported years; engine ratios)</t>
  </si>
  <si>
    <t>FY27EA</t>
  </si>
  <si>
    <t>FY28EA</t>
  </si>
  <si>
    <t>FY29EA</t>
  </si>
  <si>
    <t>FY30EA</t>
  </si>
  <si>
    <t>FY31EA</t>
  </si>
  <si>
    <t>Return on assets</t>
  </si>
  <si>
    <t>Return on capital employed</t>
  </si>
  <si>
    <t>Return on invested capital</t>
  </si>
  <si>
    <t>DuPont: net margin</t>
  </si>
  <si>
    <t>DuPont: asset turnover (x)</t>
  </si>
  <si>
    <t>DuPont: equity multiplier (x)</t>
  </si>
  <si>
    <t>ROE re-derived = margin x turnover x multiplier (live formula)</t>
  </si>
  <si>
    <t>FORENSIC SCREENS (engine output; a screen flags, it does not prove)</t>
  </si>
  <si>
    <t>Altman Z (variant )</t>
  </si>
  <si>
    <t>n/a.</t>
  </si>
  <si>
    <t>Piotroski F-score (of 9)</t>
  </si>
  <si>
    <t>Beneish M-score</t>
  </si>
  <si>
    <t>n/a (threshold n/a).</t>
  </si>
  <si>
    <t>Forensic audit complete: Overall Health: UNAVAILABLE | Altman Z: N/A (N/A) | Piotroski F: N/A/9 | Beneish M: N/A (N/A).</t>
  </si>
  <si>
    <t>ACCOUNTING QUALITY (verdict CAUTION)</t>
  </si>
  <si>
    <t>Check</t>
  </si>
  <si>
    <t>Value</t>
  </si>
  <si>
    <t>Flag</t>
  </si>
  <si>
    <t>Threshold</t>
  </si>
  <si>
    <t>Detail</t>
  </si>
  <si>
    <t>CASH_CONVERSION</t>
  </si>
  <si>
    <t>CLEAN</t>
  </si>
  <si>
    <t>RED &lt; 0.5, CAUTION &lt; 0.8</t>
  </si>
  <si>
    <t>Operating cash flow was 396% of reported PAT across FY23, FY24, FY25, FY26.</t>
  </si>
  <si>
    <t>ACCRUALS</t>
  </si>
  <si>
    <t>RED &gt; 0.1, CAUTION &gt; 0.05</t>
  </si>
  <si>
    <t>FY26: PAT exceeded operating cash flow by -16.8% of average total assets.</t>
  </si>
  <si>
    <t>RECEIVABLES_VS_SALES</t>
  </si>
  <si>
    <t>CAUTION</t>
  </si>
  <si>
    <t>CAUTION when tradeReceivables CAGR exceeds revenue CAGR by &gt; 10pp</t>
  </si>
  <si>
    <t>tradeReceivables compounded 26.1% a year against revenue 14.9% (FY23 to FY26).</t>
  </si>
  <si>
    <t>INVENTORY_VS_SALES</t>
  </si>
  <si>
    <t>CAUTION when inventories CAGR exceeds revenue CAGR by &gt; 10pp</t>
  </si>
  <si>
    <t>inventories compounded 32.6% a year against revenue 14.9% (FY23 to FY26).</t>
  </si>
  <si>
    <t>NON_CORE_RELIANCE</t>
  </si>
  <si>
    <t>CAUTION when other income &gt; 30% of PBT</t>
  </si>
  <si>
    <t>FY26: other income was 6.5% of profit before tax.</t>
  </si>
  <si>
    <t>RECURRING_EXCEPTIONALS</t>
  </si>
  <si>
    <t>UNMEASURED</t>
  </si>
  <si>
    <t>CAUTION when exceptional items recur in 2+ years</t>
  </si>
  <si>
    <t>Exceptional items are not served for two or more years.</t>
  </si>
  <si>
    <t>BENEISH</t>
  </si>
  <si>
    <t>RED when the M-score flags a likely manipulator</t>
  </si>
  <si>
    <t>Beneish M-score inputs were not served.</t>
  </si>
  <si>
    <t>Schedules: fixed assets, working capital, capital allocation, leverage, segments</t>
  </si>
  <si>
    <t>Live formulas over the statement sheets (reported and forecast on one axis). A year whose source lines are absent shows n/a.</t>
  </si>
  <si>
    <t>FIXED ASSETS, CAPEX AND DEPRECIATION (INR crore)</t>
  </si>
  <si>
    <t>Property, plant &amp; equipment (net)</t>
  </si>
  <si>
    <t>Capital expenditure (outflow shown positive)</t>
  </si>
  <si>
    <t>Capex / revenue</t>
  </si>
  <si>
    <t>Capex / depreciation (x)</t>
  </si>
  <si>
    <t>Depreciation / opening net PPE</t>
  </si>
  <si>
    <t>Maintenance capex (CAPEX_BELOW_DEPRECIATION)</t>
  </si>
  <si>
    <t>Growth capex (total less maintenance)</t>
  </si>
  <si>
    <t>Maintenance share ranged 1.3pp across 4 years (98.7% to 100.0%).</t>
  </si>
  <si>
    <t>WORKING CAPITAL (INR crore; days on a 365-day year)</t>
  </si>
  <si>
    <t>Trade working capital (receivables + inventories - payables)</t>
  </si>
  <si>
    <t>Receivable days (on revenue)</t>
  </si>
  <si>
    <t>Payable days (on total operating expenses)</t>
  </si>
  <si>
    <t>Inventory days (on total operating expenses)</t>
  </si>
  <si>
    <t>Inventory and payable days use total operating expenses as the cost base because the statements do not all carry cost of goods sold; they are comparable across years of this issuer, not to a peer using cost of sales.</t>
  </si>
  <si>
    <t>CAPITAL ALLOCATION AND LEVERAGE (INR crore)</t>
  </si>
  <si>
    <t>Cash from operations</t>
  </si>
  <si>
    <t>Free cash flow (CFO - capex)</t>
  </si>
  <si>
    <t>Dividends paid (outflow shown positive)</t>
  </si>
  <si>
    <t>Dividend payout (dividends / net income)</t>
  </si>
  <si>
    <t>Debt issued / (repaid)</t>
  </si>
  <si>
    <t>Share issuance / (repurchase)</t>
  </si>
  <si>
    <t>Gross borrowings (short-term + long-term)</t>
  </si>
  <si>
    <t>Cash and short-term investments</t>
  </si>
  <si>
    <t>Net debt (borrowings - cash and short-term investments; excludes leases and long-term investments)</t>
  </si>
  <si>
    <t>Net debt / EBITDA (x)</t>
  </si>
  <si>
    <t>Operating segments: no Ind AS 108 segment disclosure was read for this issuer and the provider published no split.</t>
  </si>
  <si>
    <t>SECTOR SCHEDULE (TELECOM)</t>
  </si>
  <si>
    <t>Sector template</t>
  </si>
  <si>
    <t>Telecommunications &amp; Digital Infrastructure</t>
  </si>
  <si>
    <t>Primary revenue method</t>
  </si>
  <si>
    <t>subscriber_arpu_build</t>
  </si>
  <si>
    <t>Key drivers</t>
  </si>
  <si>
    <t>subscriberGrowth; arpuGrowth; ebitdaMargin; capexPercentOfRevenue; netDebtToEbitda</t>
  </si>
  <si>
    <t>Typical gross-margin range</t>
  </si>
  <si>
    <t>[0.45,0.65]</t>
  </si>
  <si>
    <t>Typical opex ratio range</t>
  </si>
  <si>
    <t>[0.15,0.25]</t>
  </si>
  <si>
    <t>Life-cycle stage</t>
  </si>
  <si>
    <t>MATURE_GROWTH</t>
  </si>
  <si>
    <t>Cyclicality</t>
  </si>
  <si>
    <t>{"status":"UNAVAILABLE","reason":"INSUFFICIENT_HISTORY","detail":"Cyclicality needs at least 5 usable periods to distinguish a cycle from a trend; 4 are availab</t>
  </si>
  <si>
    <t>Facts: raw as-filed lines, canonical resolution, source documents</t>
  </si>
  <si>
    <t>The lines the statements were built from, by XBRL concept and fiscal year (INR crore), the canonical value against every second source with the authority that decided it, and the filings (hash, URL, retrieval time).</t>
  </si>
  <si>
    <t>As-filed statements: UNAVAILABLE no audited statutory XBRL filing was served for this issuer; the statements are not laid out line by line</t>
  </si>
  <si>
    <t>CANONICAL VS SECOND SOURCE (canonical provider SCREENER_INDIA; NOT a primary filing; policy 2026-09-30.1)</t>
  </si>
  <si>
    <t>Rows 80: 36 agree, 21 conflict, 0 second source unavailable, 23 not comparable. The canonical value is never averaged with a second source.</t>
  </si>
  <si>
    <t>Field</t>
  </si>
  <si>
    <t>Fiscal year</t>
  </si>
  <si>
    <t>Canonical provider</t>
  </si>
  <si>
    <t>Canonical value</t>
  </si>
  <si>
    <t>Second provider</t>
  </si>
  <si>
    <t>Second value</t>
  </si>
  <si>
    <t>Agreement</t>
  </si>
  <si>
    <t>Relative difference</t>
  </si>
  <si>
    <t>Final value / provider</t>
  </si>
  <si>
    <t>FY23</t>
  </si>
  <si>
    <t>SCREENER_INDIA</t>
  </si>
  <si>
    <t>YAHOO_INDIA</t>
  </si>
  <si>
    <t>AGREE</t>
  </si>
  <si>
    <t>139145 (SCREENER_INDIA)</t>
  </si>
  <si>
    <t>36432 (SCREENER_INDIA)</t>
  </si>
  <si>
    <t>CONFLICT</t>
  </si>
  <si>
    <t>19300 (SCREENER_INDIA)</t>
  </si>
  <si>
    <t>16561 (SCREENER_INDIA)</t>
  </si>
  <si>
    <t>Tax expense</t>
  </si>
  <si>
    <t>4305.86 (SCREENER_INDIA)</t>
  </si>
  <si>
    <t>Profit for the period (total, incl. NCI)</t>
  </si>
  <si>
    <t>12287 (SCREENER_INDIA)</t>
  </si>
  <si>
    <t>Profit attributable to owners</t>
  </si>
  <si>
    <t>NOT_COMPARABLE</t>
  </si>
  <si>
    <t>null (null)</t>
  </si>
  <si>
    <t>Diluted EPS (as filed, unrestated)</t>
  </si>
  <si>
    <t>444557 (SCREENER_INDIA)</t>
  </si>
  <si>
    <t>Total equity (incl. NCI)</t>
  </si>
  <si>
    <t>Equity attributable to owners</t>
  </si>
  <si>
    <t>77563 (SCREENER_INDIA)</t>
  </si>
  <si>
    <t>Equity share capital (paid-up value)</t>
  </si>
  <si>
    <t>2837 (SCREENER_INDIA)</t>
  </si>
  <si>
    <t>Borrowings (non-current)</t>
  </si>
  <si>
    <t>Borrowings (current)</t>
  </si>
  <si>
    <t>Cash and cash equivalents</t>
  </si>
  <si>
    <t>13419 (SCREENER_INDIA)</t>
  </si>
  <si>
    <t>Cash flow from operations</t>
  </si>
  <si>
    <t>65325 (SCREENER_INDIA)</t>
  </si>
  <si>
    <t>Cash flow from investing</t>
  </si>
  <si>
    <t>-39232 (SCREENER_INDIA)</t>
  </si>
  <si>
    <t>Cash flow from financing</t>
  </si>
  <si>
    <t>-24470 (SCREENER_INDIA)</t>
  </si>
  <si>
    <t>Capital expenditure (magnitude)</t>
  </si>
  <si>
    <t>-26538 (SCREENER_INDIA)</t>
  </si>
  <si>
    <t>Share count</t>
  </si>
  <si>
    <t>FY24</t>
  </si>
  <si>
    <t>149982 (SCREENER_INDIA)</t>
  </si>
  <si>
    <t>39538 (SCREENER_INDIA)</t>
  </si>
  <si>
    <t>22648 (SCREENER_INDIA)</t>
  </si>
  <si>
    <t>12679 (SCREENER_INDIA)</t>
  </si>
  <si>
    <t>4057.28 (SCREENER_INDIA)</t>
  </si>
  <si>
    <t>8558 (SCREENER_INDIA)</t>
  </si>
  <si>
    <t>442019 (SCREENER_INDIA)</t>
  </si>
  <si>
    <t>82019 (SCREENER_INDIA)</t>
  </si>
  <si>
    <t>2877 (SCREENER_INDIA)</t>
  </si>
  <si>
    <t>16340 (SCREENER_INDIA)</t>
  </si>
  <si>
    <t>78898 (SCREENER_INDIA)</t>
  </si>
  <si>
    <t>-51089 (SCREENER_INDIA)</t>
  </si>
  <si>
    <t>-27778 (SCREENER_INDIA)</t>
  </si>
  <si>
    <t>-40052 (SCREENER_INDIA)</t>
  </si>
  <si>
    <t>FY25</t>
  </si>
  <si>
    <t>172985 (SCREENER_INDIA)</t>
  </si>
  <si>
    <t>45570 (SCREENER_INDIA)</t>
  </si>
  <si>
    <t>21754 (SCREENER_INDIA)</t>
  </si>
  <si>
    <t>38398 (SCREENER_INDIA)</t>
  </si>
  <si>
    <t>767.96 (SCREENER_INDIA)</t>
  </si>
  <si>
    <t>37481 (SCREENER_INDIA)</t>
  </si>
  <si>
    <t>505006 (SCREENER_INDIA)</t>
  </si>
  <si>
    <t>113672 (SCREENER_INDIA)</t>
  </si>
  <si>
    <t>2900 (SCREENER_INDIA)</t>
  </si>
  <si>
    <t>16720 (SCREENER_INDIA)</t>
  </si>
  <si>
    <t>98332 (SCREENER_INDIA)</t>
  </si>
  <si>
    <t>-60198 (SCREENER_INDIA)</t>
  </si>
  <si>
    <t>-36533 (SCREENER_INDIA)</t>
  </si>
  <si>
    <t>-39680 (SCREENER_INDIA)</t>
  </si>
  <si>
    <t>FY26</t>
  </si>
  <si>
    <t>210973 (SCREENER_INDIA)</t>
  </si>
  <si>
    <t>52711 (SCREENER_INDIA)</t>
  </si>
  <si>
    <t>21555 (SCREENER_INDIA)</t>
  </si>
  <si>
    <t>45173 (SCREENER_INDIA)</t>
  </si>
  <si>
    <t>11293.25 (SCREENER_INDIA)</t>
  </si>
  <si>
    <t>33823 (SCREENER_INDIA)</t>
  </si>
  <si>
    <t>545373 (SCREENER_INDIA)</t>
  </si>
  <si>
    <t>149057 (SCREENER_INDIA)</t>
  </si>
  <si>
    <t>3047 (SCREENER_INDIA)</t>
  </si>
  <si>
    <t>30377 (SCREENER_INDIA)</t>
  </si>
  <si>
    <t>122230 (SCREENER_INDIA)</t>
  </si>
  <si>
    <t>-56205 (SCREENER_INDIA)</t>
  </si>
  <si>
    <t>-52293 (SCREENER_INDIA)</t>
  </si>
  <si>
    <t>-46714 (SCREENER_INDIA)</t>
  </si>
  <si>
    <t>609.4 (SCREENER_INDIA)</t>
  </si>
  <si>
    <t>Second source YAHOO_INDIA: USED -- Yahoo Finance fundamentals-timeseries (secondary aggregator)</t>
  </si>
  <si>
    <t>SOURCE DOCUMENTS</t>
  </si>
  <si>
    <t>Period</t>
  </si>
  <si>
    <t>Perimeter</t>
  </si>
  <si>
    <t>Provider</t>
  </si>
  <si>
    <t>Document</t>
  </si>
  <si>
    <t>URL</t>
  </si>
  <si>
    <t>sha256 of the stored bytes</t>
  </si>
  <si>
    <t>Retrieved</t>
  </si>
  <si>
    <t>Change log</t>
  </si>
  <si>
    <t>What changed, and against what. Vintages are saved snapshots of this issuer (each immutable, each with its hash); a change in fair value between two of them is the engine's, not this sheet's.</t>
  </si>
  <si>
    <t>SAVED SNAPSHOT VINTAGES OF THIS ISSUER (newest first; this workbook is marked)</t>
  </si>
  <si>
    <t>Snapshot</t>
  </si>
  <si>
    <t>Price (INR)</t>
  </si>
  <si>
    <t>Change vs this workbook (INR)</t>
  </si>
  <si>
    <t>Change (%)</t>
  </si>
  <si>
    <t>Assumptions hash (12)</t>
  </si>
  <si>
    <t>snap_BHARTIARTL_NS_24392f289409  &lt;- THIS WORKBOOK</t>
  </si>
  <si>
    <t>74234e98afe7</t>
  </si>
  <si>
    <t>snap_BHARTIARTL_NS_7195e2e64806</t>
  </si>
  <si>
    <t>2026-11-01T14:58:12.919Z</t>
  </si>
  <si>
    <t>snap_BHARTIARTL_NS_99ed6aabf652</t>
  </si>
  <si>
    <t>2026-11-01T14:56:15.406Z</t>
  </si>
  <si>
    <t>snap_BHARTIARTL_NS_1cb45ecbf0ba</t>
  </si>
  <si>
    <t>2026-11-01T14:56:15.338Z</t>
  </si>
  <si>
    <t>snap_BHARTIARTL_NS_8488fd8785e3</t>
  </si>
  <si>
    <t>2026-11-01T14:53:10.113Z</t>
  </si>
  <si>
    <t>snap_BHARTIARTL_NS_6360ae76accb</t>
  </si>
  <si>
    <t>2026-11-01T14:53:10.033Z</t>
  </si>
  <si>
    <t>OVERRIDES APPLIED TO THIS WORKBOOK</t>
  </si>
  <si>
    <t>None: this is the base case (every driver is history-derived or a disclosed model policy).</t>
  </si>
  <si>
    <t>RESTATEMENTS, PERIOD BREAKS AND SOURCE CONFLICTS IN THE DATA</t>
  </si>
  <si>
    <t>Diagnostic WARNING</t>
  </si>
  <si>
    <t>WARN_LEGACY_COMPATIBILITY_WITHHELD</t>
  </si>
  <si>
    <t>The legacy compatibility forecast, multi-stage DCF, scenarios and sensitivities are withheld: ERROR_INPUT_UNAVAILABLE: the FY26 statements do not serve otherCurrentAssets, intangibleAssetsAndGoodwill, otherNonCurrentAssets, shortTermBorrowings, otherCurrentLiabilities, longTermDebt, leaseLiabilities, deferredTaxLiabilities, otherNonCurrentLiabilities, otherEquity, minorityInterest; the integrated forecast rolls every one of them forward. Refusing to open them at 0.</t>
  </si>
  <si>
    <t>WARN_HIST_CASH_ROLL</t>
  </si>
  <si>
    <t>HIST_CASH_ROLL: FY24: opening 13,419 + net change 31 = 13,450, closing reported 16,340 | FY25: opening 16,340 + net change 1,601 = 17,941, closing reported 16,720</t>
  </si>
  <si>
    <t>21 provider conflict(s) between the canonical filing value and a second source are listed on the Facts sheet; the filing value stands.</t>
  </si>
  <si>
    <t>Source audit: provenance, accounting and recalculation checks, peer selection, limits</t>
  </si>
  <si>
    <t>Every figure carries its filing; every identity the model must satisfy is listed with its result; nothing that failed is dropped.</t>
  </si>
  <si>
    <t>PROVENANCE (8 sourced figures)</t>
  </si>
  <si>
    <t>Line item</t>
  </si>
  <si>
    <t>Type</t>
  </si>
  <si>
    <t>Source filing</t>
  </si>
  <si>
    <t>sha256 of the stored filing</t>
  </si>
  <si>
    <t>Basis note</t>
  </si>
  <si>
    <t>Revenue (FY23)</t>
  </si>
  <si>
    <t>Crores</t>
  </si>
  <si>
    <t>PROVIDER_REPORTED</t>
  </si>
  <si>
    <t>Provider Reported</t>
  </si>
  <si>
    <t>REVENUE_BASIS_NOT_ASSESSED: this is the aggregator's "Sales" line. It is not reconciled to the filed Revenue from operations and can be lower where the aggregator nets excise duty or cess. Compare with the audited filing before reading margins.</t>
  </si>
  <si>
    <t>Net Income / PAT (FY23)</t>
  </si>
  <si>
    <t>Revenue (FY24)</t>
  </si>
  <si>
    <t>Net Income / PAT (FY24)</t>
  </si>
  <si>
    <t>Revenue (FY25)</t>
  </si>
  <si>
    <t>Net Income / PAT (FY25)</t>
  </si>
  <si>
    <t>Revenue (FY26)</t>
  </si>
  <si>
    <t>Net Income / PAT (FY26)</t>
  </si>
  <si>
    <t>ACCOUNTING AND RECALCULATION CHECKS (3 run; 3 pass; 0 not a plain pass, all shown first)</t>
  </si>
  <si>
    <t>Scope</t>
  </si>
  <si>
    <t>Computed</t>
  </si>
  <si>
    <t>Reported</t>
  </si>
  <si>
    <t>Difference</t>
  </si>
  <si>
    <t>No DCF stance without a DCF</t>
  </si>
  <si>
    <t>VALUATION</t>
  </si>
  <si>
    <t>PASS</t>
  </si>
  <si>
    <t>DCF ran; stance derived from it only</t>
  </si>
  <si>
    <t>No bonus / split is classified as economic dilution</t>
  </si>
  <si>
    <t>HISTORICAL</t>
  </si>
  <si>
    <t>no share-count events</t>
  </si>
  <si>
    <t>Canonical v1 accounting invariants</t>
  </si>
  <si>
    <t>Critical Integrity Checks</t>
  </si>
  <si>
    <t>All canonical v1 accounting invariants hold across every projected period.</t>
  </si>
  <si>
    <t>PEER SELECTION (status UNAVAILABLE)</t>
  </si>
  <si>
    <t>peer sample too small for statistics (n=2); peer values are shown, no median/quartile is claimed</t>
  </si>
  <si>
    <t>Peer set</t>
  </si>
  <si>
    <t>Selection rule</t>
  </si>
  <si>
    <t>Rationale</t>
  </si>
  <si>
    <t>Members</t>
  </si>
  <si>
    <t>Whole-company comparable set</t>
  </si>
  <si>
    <t>COMPANY</t>
  </si>
  <si>
    <t>analyst-defined TELECOM universe, subject excluded</t>
  </si>
  <si>
    <t>IDEA.NS, TATACOMM.NS</t>
  </si>
  <si>
    <t>PUBLICATION STATE AND LIMITS</t>
  </si>
  <si>
    <t>Statement perimeter</t>
  </si>
  <si>
    <t>Consolidated</t>
  </si>
  <si>
    <t>Model package status</t>
  </si>
  <si>
    <t>EXECUTED_WITHHELD</t>
  </si>
  <si>
    <t>Peer intelligence</t>
  </si>
  <si>
    <t>Withheld / not measured</t>
  </si>
  <si>
    <t>Confidence gate</t>
  </si>
  <si>
    <t>Reported statutory provenance coverage is low (0% of fields read from a filing; a further 100% are provider-reported statements, which are attributed but not statutory).</t>
  </si>
  <si>
    <t>SAVED RECORD AND VERIFIER RECEIPTS</t>
  </si>
  <si>
    <t>This snapshot's saved record (provenance, publication states, discrepancies, peer selection, limits and every verifier receipt) is kept by FMB beside the exported files: GET /api/export/snapshot/snap_BHARTIARTL_NS_24392f289409/record. Receipts are appended as verifiers run (workbook formula re-derivation, independent Monte Carlo), so they are read from the record, not stored in this file.</t>
  </si>
  <si>
    <t>Chart data (editable)</t>
  </si>
  <si>
    <t>The numbers behind the native charts on this sheet. Edit a cell and the chart redraws. Source is stated per block; nothing here is a forecast of its own.</t>
  </si>
  <si>
    <t>MONTE CARLO value distribution (SUPPLEMENTARY / EXPERIMENTAL; 20000 valid paths, seed 133742; histogram bins, CDF is the running sum)</t>
  </si>
  <si>
    <t>Bin (INR / share)</t>
  </si>
  <si>
    <t>Bin low</t>
  </si>
  <si>
    <t>Bin high</t>
  </si>
  <si>
    <t>Paths</t>
  </si>
  <si>
    <t>Share of paths %</t>
  </si>
  <si>
    <t>Cumulative %</t>
  </si>
  <si>
    <t>₹258 - ₹901</t>
  </si>
  <si>
    <t>₹901 - ₹1545</t>
  </si>
  <si>
    <t>₹1545 - ₹2189</t>
  </si>
  <si>
    <t>₹2189 - ₹2833</t>
  </si>
  <si>
    <t>₹2833 - ₹3477</t>
  </si>
  <si>
    <t>₹3477 - ₹4120</t>
  </si>
  <si>
    <t>₹4120 - ₹4764</t>
  </si>
  <si>
    <t>₹4764 - ₹5408</t>
  </si>
  <si>
    <t>₹5408 - ₹6052</t>
  </si>
  <si>
    <t>₹6052 - ₹6696</t>
  </si>
  <si>
    <t>TORNADO: what moves the simulated value (squared-correlation ranking; with correlated drivers it ranks influence, it does not partition variance)</t>
  </si>
  <si>
    <t>Rank</t>
  </si>
  <si>
    <t>Share of ranking %</t>
  </si>
  <si>
    <t>Correlation with value</t>
  </si>
  <si>
    <t>Why it matters</t>
  </si>
  <si>
    <t>Operating EBIT Margin</t>
  </si>
  <si>
    <t>Terminal profit realization and cost structure leverage.</t>
  </si>
  <si>
    <t>CapEx Reinvestment</t>
  </si>
  <si>
    <t>Capital intensity and working capital commitments.</t>
  </si>
  <si>
    <t>Revenue Growth Rate</t>
  </si>
  <si>
    <t>Top-line compounding driver over the 5-year projection horizon.</t>
  </si>
  <si>
    <t>WACC Discount Rate</t>
  </si>
  <si>
    <t>Macroeconomic hurdle and equity cost discounting sensitivity.</t>
  </si>
  <si>
    <t>FAN: simulated free cash flow to firm by year (INR crore): percentile envelopes of the valid paths against the base case</t>
  </si>
  <si>
    <t>Series</t>
  </si>
  <si>
    <t>P05</t>
  </si>
  <si>
    <t>Base case</t>
  </si>
  <si>
    <t>FOOTBALL FIELD: value per share by method (INR); the primary method is never averaged with the cross-checks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</si>
</sst>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Red]-0.0%"/>
    <numFmt numFmtId="165" formatCode="#,##0.0;[Red]-#,##0.0"/>
    <numFmt numFmtId="166" formatCode="0.0&quot;x&quot;"/>
    <numFmt numFmtId="167" formatCode="0.0"/>
    <numFmt numFmtId="168" formatCode="0.0000"/>
    <numFmt numFmtId="169" formatCode="0.000"/>
    <numFmt numFmtId="170" formatCode="#,##0.0000"/>
    <numFmt numFmtId="171" formatCode="#,##0.0"/>
  </numFmts>
  <fonts count="6" x14ac:knownFonts="1">
    <font>
      <color theme="1"/>
      <family val="2"/>
      <scheme val="minor"/>
      <sz val="11"/>
      <name val="Calibri"/>
    </font>
    <font>
      <b/>
      <color rgb="FF0F172A"/>
      <sz val="16"/>
      <name val="Calibri"/>
    </font>
    <font>
      <i/>
      <color rgb="FF64748B"/>
      <sz val="10"/>
      <name val="Calibri"/>
    </font>
    <font>
      <b/>
      <color rgb="FF1E293B"/>
      <sz val="12"/>
      <name val="Calibri"/>
    </font>
    <font>
      <b/>
      <sz val="11"/>
      <name val="Calibri"/>
    </font>
    <font>
      <b/>
      <color rgb="FFFFFFFF"/>
      <sz val="11"/>
      <name val="Calibri"/>
    </font>
  </fonts>
  <fills count="6">
    <fill>
      <patternFill patternType="none"/>
    </fill>
    <fill>
      <patternFill patternType="gray125"/>
    </fill>
    <fill>
      <patternFill patternType="solid">
        <fgColor rgb="FFF1F5F9"/>
      </patternFill>
    </fill>
    <fill>
      <patternFill patternType="solid">
        <fgColor rgb="FF1E293B"/>
      </patternFill>
    </fill>
    <fill>
      <patternFill patternType="solid">
        <fgColor rgb="FFEFF6FF"/>
      </patternFill>
    </fill>
    <fill>
      <patternFill patternType="solid">
        <fgColor rgb="FFE2E8F0"/>
      </patternFill>
    </fill>
  </fills>
  <borders count="2">
    <border>
      <left/>
      <right/>
      <top/>
      <bottom/>
      <diagonal/>
    </border>
    <border>
      <left/>
      <right/>
      <top/>
      <bottom style="thin">
        <color rgb="FFE2E8F0"/>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0" borderId="0" xfId="0" applyFont="1"/>
    <xf numFmtId="4" fontId="4" fillId="0" borderId="0" xfId="0" applyNumberFormat="1" applyFont="1"/>
    <xf numFmtId="164" fontId="4" fillId="0" borderId="0" xfId="0" applyNumberFormat="1" applyFont="1"/>
    <xf numFmtId="0" fontId="0" fillId="0" borderId="0" xfId="0" applyAlignment="1">
      <alignment vertical="top" wrapText="1"/>
    </xf>
    <xf numFmtId="0" fontId="5" fillId="3" borderId="0" xfId="0" applyFont="1" applyFill="1" applyAlignment="1">
      <alignment horizontal="left" vertical="center" wrapText="1"/>
    </xf>
    <xf numFmtId="0" fontId="5" fillId="3" borderId="0" xfId="0" applyFont="1" applyFill="1" applyAlignment="1">
      <alignment horizontal="center" vertical="center" wrapText="1"/>
    </xf>
    <xf numFmtId="165" fontId="4" fillId="0" borderId="0" xfId="0" applyNumberFormat="1" applyFont="1"/>
    <xf numFmtId="0" fontId="4" fillId="4" borderId="0" xfId="0" applyFont="1" applyFill="1"/>
    <xf numFmtId="164" fontId="0" fillId="0" borderId="0" xfId="0" applyNumberFormat="1"/>
    <xf numFmtId="0" fontId="0" fillId="4" borderId="0" xfId="0" applyFill="1"/>
    <xf numFmtId="4" fontId="0" fillId="0" borderId="0" xfId="0" applyNumberFormat="1"/>
    <xf numFmtId="166" fontId="0" fillId="0" borderId="0" xfId="0" applyNumberFormat="1"/>
    <xf numFmtId="1" fontId="0" fillId="0" borderId="0" xfId="0" applyNumberFormat="1"/>
    <xf numFmtId="167" fontId="0" fillId="0" borderId="0" xfId="0" applyNumberFormat="1"/>
    <xf numFmtId="165" fontId="4" fillId="0" borderId="1" xfId="0" applyNumberFormat="1" applyFont="1" applyBorder="1"/>
    <xf numFmtId="0" fontId="4" fillId="4" borderId="1" xfId="0" applyFont="1" applyFill="1" applyBorder="1"/>
    <xf numFmtId="0" fontId="0" fillId="0" borderId="1" xfId="0" applyBorder="1"/>
    <xf numFmtId="164" fontId="0" fillId="0" borderId="1" xfId="0" applyNumberFormat="1" applyBorder="1"/>
    <xf numFmtId="0" fontId="0" fillId="4" borderId="1" xfId="0" applyFill="1" applyBorder="1"/>
    <xf numFmtId="165" fontId="0" fillId="0" borderId="1" xfId="0" applyNumberFormat="1" applyBorder="1"/>
    <xf numFmtId="0" fontId="4" fillId="0" borderId="1" xfId="0" applyFont="1" applyBorder="1"/>
    <xf numFmtId="4" fontId="0" fillId="0" borderId="1" xfId="0" applyNumberFormat="1" applyBorder="1"/>
    <xf numFmtId="4" fontId="4" fillId="0" borderId="1" xfId="0" applyNumberFormat="1" applyFont="1" applyBorder="1"/>
    <xf numFmtId="168" fontId="0" fillId="0" borderId="0" xfId="0" applyNumberFormat="1"/>
    <xf numFmtId="165" fontId="0" fillId="0" borderId="0" xfId="0" applyNumberFormat="1"/>
    <xf numFmtId="169" fontId="0" fillId="0" borderId="0" xfId="0" applyNumberFormat="1"/>
    <xf numFmtId="170" fontId="0" fillId="0" borderId="0" xfId="0" applyNumberFormat="1"/>
    <xf numFmtId="0" fontId="4" fillId="5" borderId="0" xfId="0" applyFont="1" applyFill="1"/>
    <xf numFmtId="166" fontId="4" fillId="5" borderId="0" xfId="0" applyNumberFormat="1" applyFont="1" applyFill="1"/>
    <xf numFmtId="167" fontId="4" fillId="5" borderId="0" xfId="0" applyNumberFormat="1" applyFont="1" applyFill="1"/>
    <xf numFmtId="171" fontId="0" fillId="0" borderId="0" xfId="0" applyNumberFormat="1"/>
    <xf numFmtId="3" fontId="0" fillId="0" borderId="0" xfId="0" applyNumberFormat="1"/>
    <xf numFmtId="2"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charts/chart1.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Revenue</a:t>
            </a:r>
          </a:p>
        </c:rich>
      </c:tx>
      <c:layout/>
    </c:title>
    <c:autoTitleDeleted val="0"/>
    <c:plotArea>
      <c:layout/>
      <c:barChart>
        <c:barDir val="col"/>
        <c:grouping val="clustered"/>
        <c:overlap val="-20"/>
        <c:gapWidth val="150"/>
        <c:ser>
          <c:idx val="0"/>
          <c:order val="0"/>
          <c:tx>
            <c:v>Revenue</c:v>
          </c:tx>
          <c:cat>
            <c:strRef>
              <c:f>'Summary'!$C$14:$K$14</c:f>
              <c:strCache>
                <c:ptCount val="9"/>
                <c:pt idx="0">
                  <c:v>FY23A</c:v>
                </c:pt>
                <c:pt idx="1">
                  <c:v>FY24A</c:v>
                </c:pt>
                <c:pt idx="2">
                  <c:v>FY25A</c:v>
                </c:pt>
                <c:pt idx="3">
                  <c:v>FY26A</c:v>
                </c:pt>
                <c:pt idx="4">
                  <c:v>FY27E</c:v>
                </c:pt>
                <c:pt idx="5">
                  <c:v>FY28E</c:v>
                </c:pt>
                <c:pt idx="6">
                  <c:v>FY29E</c:v>
                </c:pt>
                <c:pt idx="7">
                  <c:v>FY30E</c:v>
                </c:pt>
                <c:pt idx="8">
                  <c:v>FY31E</c:v>
                </c:pt>
              </c:strCache>
            </c:strRef>
          </c:cat>
          <c:val>
            <c:numRef>
              <c:f>'Summary'!$C$15:$K$15</c:f>
              <c:numCache>
                <c:formatCode>#,##0</c:formatCode>
                <c:ptCount val="9"/>
                <c:pt idx="0">
                  <c:v>139145</c:v>
                </c:pt>
                <c:pt idx="1">
                  <c:v>149982</c:v>
                </c:pt>
                <c:pt idx="2">
                  <c:v>172985</c:v>
                </c:pt>
                <c:pt idx="3">
                  <c:v>210973</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2.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EBITDA margin</a:t>
            </a:r>
          </a:p>
        </c:rich>
      </c:tx>
      <c:layout/>
    </c:title>
    <c:autoTitleDeleted val="0"/>
    <c:plotArea>
      <c:layout/>
      <c:lineChart>
        <c:grouping val="standard"/>
        <c:ser>
          <c:idx val="0"/>
          <c:order val="0"/>
          <c:tx>
            <c:v>EBITDA margin</c:v>
          </c:tx>
          <c:cat>
            <c:strRef>
              <c:f>'Summary'!$C$14:$K$14</c:f>
              <c:strCache>
                <c:ptCount val="9"/>
                <c:pt idx="0">
                  <c:v>FY23A</c:v>
                </c:pt>
                <c:pt idx="1">
                  <c:v>FY24A</c:v>
                </c:pt>
                <c:pt idx="2">
                  <c:v>FY25A</c:v>
                </c:pt>
                <c:pt idx="3">
                  <c:v>FY26A</c:v>
                </c:pt>
                <c:pt idx="4">
                  <c:v>FY27E</c:v>
                </c:pt>
                <c:pt idx="5">
                  <c:v>FY28E</c:v>
                </c:pt>
                <c:pt idx="6">
                  <c:v>FY29E</c:v>
                </c:pt>
                <c:pt idx="7">
                  <c:v>FY30E</c:v>
                </c:pt>
                <c:pt idx="8">
                  <c:v>FY31E</c:v>
                </c:pt>
              </c:strCache>
            </c:strRef>
          </c:cat>
          <c:val>
            <c:numRef>
              <c:f>'Summary'!$C$17:$K$17</c:f>
              <c:numCache>
                <c:formatCode>0%</c:formatCode>
                <c:ptCount val="9"/>
                <c:pt idx="0">
                  <c:v>0.5122282511049624</c:v>
                </c:pt>
                <c:pt idx="1">
                  <c:v>0.5193489885452921</c:v>
                </c:pt>
                <c:pt idx="2">
                  <c:v>0.49171893516778914</c:v>
                </c:pt>
                <c:pt idx="3">
                  <c:v>0.552269721717945</c:v>
                </c:pt>
              </c:numCache>
            </c:numRef>
          </c:val>
        </c:ser>
        <c:axId val="10000001"/>
        <c:axId val="10000002"/>
      </c:line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3.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Free cash flow (CFO - CapEx)</a:t>
            </a:r>
          </a:p>
        </c:rich>
      </c:tx>
      <c:layout/>
    </c:title>
    <c:autoTitleDeleted val="0"/>
    <c:plotArea>
      <c:layout/>
      <c:barChart>
        <c:barDir val="col"/>
        <c:grouping val="clustered"/>
        <c:overlap val="-20"/>
        <c:gapWidth val="150"/>
        <c:ser>
          <c:idx val="0"/>
          <c:order val="0"/>
          <c:tx>
            <c:v>FCF</c:v>
          </c:tx>
          <c:cat>
            <c:strRef>
              <c:f>'Summary'!$C$14:$K$14</c:f>
              <c:strCache>
                <c:ptCount val="9"/>
                <c:pt idx="0">
                  <c:v>FY23A</c:v>
                </c:pt>
                <c:pt idx="1">
                  <c:v>FY24A</c:v>
                </c:pt>
                <c:pt idx="2">
                  <c:v>FY25A</c:v>
                </c:pt>
                <c:pt idx="3">
                  <c:v>FY26A</c:v>
                </c:pt>
                <c:pt idx="4">
                  <c:v>FY27E</c:v>
                </c:pt>
                <c:pt idx="5">
                  <c:v>FY28E</c:v>
                </c:pt>
                <c:pt idx="6">
                  <c:v>FY29E</c:v>
                </c:pt>
                <c:pt idx="7">
                  <c:v>FY30E</c:v>
                </c:pt>
                <c:pt idx="8">
                  <c:v>FY31E</c:v>
                </c:pt>
              </c:strCache>
            </c:strRef>
          </c:cat>
          <c:val>
            <c:numRef>
              <c:f>'Summary'!$C$20:$K$20</c:f>
              <c:numCache>
                <c:formatCode>#,##0</c:formatCode>
                <c:ptCount val="9"/>
                <c:pt idx="0">
                  <c:v>38787</c:v>
                </c:pt>
                <c:pt idx="1">
                  <c:v>38846</c:v>
                </c:pt>
                <c:pt idx="2">
                  <c:v>58652</c:v>
                </c:pt>
                <c:pt idx="3">
                  <c:v>75516</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4.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Monte Carlo: share of paths by value bin (%)</a:t>
            </a:r>
          </a:p>
        </c:rich>
      </c:tx>
      <c:layout/>
    </c:title>
    <c:autoTitleDeleted val="0"/>
    <c:plotArea>
      <c:layout/>
      <c:barChart>
        <c:barDir val="col"/>
        <c:grouping val="clustered"/>
        <c:overlap val="-20"/>
        <c:gapWidth val="150"/>
        <c:ser>
          <c:idx val="0"/>
          <c:order val="0"/>
          <c:tx>
            <c:v>Share of paths %</c:v>
          </c:tx>
          <c:cat>
            <c:strRef>
              <c:f>'Chart Data'!$A$6:$A$15</c:f>
              <c:strCache>
                <c:ptCount val="10"/>
                <c:pt idx="0">
                  <c:v>₹258 - ₹901</c:v>
                </c:pt>
                <c:pt idx="1">
                  <c:v>₹901 - ₹1545</c:v>
                </c:pt>
                <c:pt idx="2">
                  <c:v>₹1545 - ₹2189</c:v>
                </c:pt>
                <c:pt idx="3">
                  <c:v>₹2189 - ₹2833</c:v>
                </c:pt>
                <c:pt idx="4">
                  <c:v>₹2833 - ₹3477</c:v>
                </c:pt>
                <c:pt idx="5">
                  <c:v>₹3477 - ₹4120</c:v>
                </c:pt>
                <c:pt idx="6">
                  <c:v>₹4120 - ₹4764</c:v>
                </c:pt>
                <c:pt idx="7">
                  <c:v>₹4764 - ₹5408</c:v>
                </c:pt>
                <c:pt idx="8">
                  <c:v>₹5408 - ₹6052</c:v>
                </c:pt>
                <c:pt idx="9">
                  <c:v>₹6052 - ₹6696</c:v>
                </c:pt>
              </c:strCache>
            </c:strRef>
          </c:cat>
          <c:val>
            <c:numRef>
              <c:f>'Chart Data'!$E$6:$E$15</c:f>
              <c:numCache>
                <c:formatCode>0.0</c:formatCode>
                <c:ptCount val="10"/>
                <c:pt idx="0">
                  <c:v>16.09</c:v>
                </c:pt>
                <c:pt idx="1">
                  <c:v>45.715</c:v>
                </c:pt>
                <c:pt idx="2">
                  <c:v>26.72</c:v>
                </c:pt>
                <c:pt idx="3">
                  <c:v>8.4</c:v>
                </c:pt>
                <c:pt idx="4">
                  <c:v>2.245</c:v>
                </c:pt>
                <c:pt idx="5">
                  <c:v>0.585</c:v>
                </c:pt>
                <c:pt idx="6">
                  <c:v>0.16999999999999998</c:v>
                </c:pt>
                <c:pt idx="7">
                  <c:v>0.045</c:v>
                </c:pt>
                <c:pt idx="8">
                  <c:v>0.015</c:v>
                </c:pt>
                <c:pt idx="9">
                  <c:v>0.015</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0" sourceLinked="0"/>
        <c:tickLblPos val="nextTo"/>
        <c:crossAx val="10000001"/>
        <c:crosses val="autoZero"/>
      </c:valAx>
    </c:plotArea>
    <c:legend>
      <c:legendPos val="b"/>
      <c:layout/>
    </c:legend>
    <c:plotVisOnly val="1"/>
  </c:chart>
</c:chartSpace>
</file>

<file path=xl/charts/chart5.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Monte Carlo: cumulative distribution (%)</a:t>
            </a:r>
          </a:p>
        </c:rich>
      </c:tx>
      <c:layout/>
    </c:title>
    <c:autoTitleDeleted val="0"/>
    <c:plotArea>
      <c:layout/>
      <c:lineChart>
        <c:grouping val="standard"/>
        <c:ser>
          <c:idx val="0"/>
          <c:order val="0"/>
          <c:tx>
            <c:v>Cumulative %</c:v>
          </c:tx>
          <c:cat>
            <c:strRef>
              <c:f>'Chart Data'!$A$6:$A$15</c:f>
              <c:strCache>
                <c:ptCount val="10"/>
                <c:pt idx="0">
                  <c:v>₹258 - ₹901</c:v>
                </c:pt>
                <c:pt idx="1">
                  <c:v>₹901 - ₹1545</c:v>
                </c:pt>
                <c:pt idx="2">
                  <c:v>₹1545 - ₹2189</c:v>
                </c:pt>
                <c:pt idx="3">
                  <c:v>₹2189 - ₹2833</c:v>
                </c:pt>
                <c:pt idx="4">
                  <c:v>₹2833 - ₹3477</c:v>
                </c:pt>
                <c:pt idx="5">
                  <c:v>₹3477 - ₹4120</c:v>
                </c:pt>
                <c:pt idx="6">
                  <c:v>₹4120 - ₹4764</c:v>
                </c:pt>
                <c:pt idx="7">
                  <c:v>₹4764 - ₹5408</c:v>
                </c:pt>
                <c:pt idx="8">
                  <c:v>₹5408 - ₹6052</c:v>
                </c:pt>
                <c:pt idx="9">
                  <c:v>₹6052 - ₹6696</c:v>
                </c:pt>
              </c:strCache>
            </c:strRef>
          </c:cat>
          <c:val>
            <c:numRef>
              <c:f>'Chart Data'!$F$6:$F$15</c:f>
              <c:numCache>
                <c:formatCode>0</c:formatCode>
                <c:ptCount val="10"/>
                <c:pt idx="0">
                  <c:v>16.09</c:v>
                </c:pt>
                <c:pt idx="1">
                  <c:v>61.80500000000001</c:v>
                </c:pt>
                <c:pt idx="2">
                  <c:v>88.525</c:v>
                </c:pt>
                <c:pt idx="3">
                  <c:v>96.92500000000001</c:v>
                </c:pt>
                <c:pt idx="4">
                  <c:v>99.17000000000002</c:v>
                </c:pt>
                <c:pt idx="5">
                  <c:v>99.75500000000001</c:v>
                </c:pt>
                <c:pt idx="6">
                  <c:v>99.92500000000001</c:v>
                </c:pt>
                <c:pt idx="7">
                  <c:v>99.97000000000001</c:v>
                </c:pt>
                <c:pt idx="8">
                  <c:v>99.98500000000001</c:v>
                </c:pt>
                <c:pt idx="9">
                  <c:v>100.00000000000001</c:v>
                </c:pt>
              </c:numCache>
            </c:numRef>
          </c:val>
        </c:ser>
        <c:axId val="10000001"/>
        <c:axId val="10000002"/>
      </c:line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6.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Tornado: share of influence on simulated value (%)</a:t>
            </a:r>
          </a:p>
        </c:rich>
      </c:tx>
      <c:layout/>
    </c:title>
    <c:autoTitleDeleted val="0"/>
    <c:plotArea>
      <c:layout/>
      <c:barChart>
        <c:barDir val="col"/>
        <c:grouping val="clustered"/>
        <c:overlap val="-20"/>
        <c:gapWidth val="150"/>
        <c:ser>
          <c:idx val="0"/>
          <c:order val="0"/>
          <c:tx>
            <c:v>Share %</c:v>
          </c:tx>
          <c:cat>
            <c:strRef>
              <c:f>'Chart Data'!$A$20:$A$23</c:f>
              <c:strCache>
                <c:ptCount val="4"/>
                <c:pt idx="0">
                  <c:v>Operating EBIT Margin</c:v>
                </c:pt>
                <c:pt idx="1">
                  <c:v>CapEx Reinvestment</c:v>
                </c:pt>
                <c:pt idx="2">
                  <c:v>Revenue Growth Rate</c:v>
                </c:pt>
                <c:pt idx="3">
                  <c:v>WACC Discount Rate</c:v>
                </c:pt>
              </c:strCache>
            </c:strRef>
          </c:cat>
          <c:val>
            <c:numRef>
              <c:f>'Chart Data'!$C$20:$C$23</c:f>
              <c:numCache>
                <c:formatCode>0</c:formatCode>
                <c:ptCount val="4"/>
                <c:pt idx="0">
                  <c:v>68</c:v>
                </c:pt>
                <c:pt idx="1">
                  <c:v>30</c:v>
                </c:pt>
                <c:pt idx="2">
                  <c:v>2</c:v>
                </c:pt>
                <c:pt idx="3">
                  <c:v>0</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7.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Fan: simulated FCFF percentile envelopes (INR crore)</a:t>
            </a:r>
          </a:p>
        </c:rich>
      </c:tx>
      <c:layout/>
    </c:title>
    <c:autoTitleDeleted val="0"/>
    <c:plotArea>
      <c:layout/>
      <c:lineChart>
        <c:grouping val="standard"/>
        <c:ser>
          <c:idx val="0"/>
          <c:order val="0"/>
          <c:tx>
            <c:v>P05</c:v>
          </c:tx>
          <c:cat>
            <c:strRef>
              <c:f>'Chart Data'!$B$27:$F$27</c:f>
              <c:strCache>
                <c:ptCount val="5"/>
                <c:pt idx="0">
                  <c:v>FY27E</c:v>
                </c:pt>
                <c:pt idx="1">
                  <c:v>FY28E</c:v>
                </c:pt>
                <c:pt idx="2">
                  <c:v>FY29E</c:v>
                </c:pt>
                <c:pt idx="3">
                  <c:v>FY30E</c:v>
                </c:pt>
                <c:pt idx="4">
                  <c:v>FY31E</c:v>
                </c:pt>
              </c:strCache>
            </c:strRef>
          </c:cat>
          <c:val>
            <c:numRef>
              <c:f>'Chart Data'!$B$28:$F$28</c:f>
              <c:numCache>
                <c:formatCode>#,##0</c:formatCode>
                <c:ptCount val="5"/>
                <c:pt idx="0">
                  <c:v>17418.4</c:v>
                </c:pt>
                <c:pt idx="1">
                  <c:v>20736.7</c:v>
                </c:pt>
                <c:pt idx="2">
                  <c:v>24401</c:v>
                </c:pt>
                <c:pt idx="3">
                  <c:v>28245.5</c:v>
                </c:pt>
                <c:pt idx="4">
                  <c:v>32136.2</c:v>
                </c:pt>
              </c:numCache>
            </c:numRef>
          </c:val>
        </c:ser>
        <c:ser>
          <c:idx val="1"/>
          <c:order val="1"/>
          <c:tx>
            <c:v>P25</c:v>
          </c:tx>
          <c:cat>
            <c:strRef>
              <c:f>'Chart Data'!$B$27:$F$27</c:f>
              <c:strCache>
                <c:ptCount val="5"/>
                <c:pt idx="0">
                  <c:v>FY27E</c:v>
                </c:pt>
                <c:pt idx="1">
                  <c:v>FY28E</c:v>
                </c:pt>
                <c:pt idx="2">
                  <c:v>FY29E</c:v>
                </c:pt>
                <c:pt idx="3">
                  <c:v>FY30E</c:v>
                </c:pt>
                <c:pt idx="4">
                  <c:v>FY31E</c:v>
                </c:pt>
              </c:strCache>
            </c:strRef>
          </c:cat>
          <c:val>
            <c:numRef>
              <c:f>'Chart Data'!$B$29:$F$29</c:f>
              <c:numCache>
                <c:formatCode>#,##0</c:formatCode>
                <c:ptCount val="5"/>
                <c:pt idx="0">
                  <c:v>24448.4</c:v>
                </c:pt>
                <c:pt idx="1">
                  <c:v>28440.5</c:v>
                </c:pt>
                <c:pt idx="2">
                  <c:v>32776.3</c:v>
                </c:pt>
                <c:pt idx="3">
                  <c:v>37326</c:v>
                </c:pt>
                <c:pt idx="4">
                  <c:v>42189.1</c:v>
                </c:pt>
              </c:numCache>
            </c:numRef>
          </c:val>
        </c:ser>
        <c:ser>
          <c:idx val="2"/>
          <c:order val="2"/>
          <c:tx>
            <c:v>P50</c:v>
          </c:tx>
          <c:cat>
            <c:strRef>
              <c:f>'Chart Data'!$B$27:$F$27</c:f>
              <c:strCache>
                <c:ptCount val="5"/>
                <c:pt idx="0">
                  <c:v>FY27E</c:v>
                </c:pt>
                <c:pt idx="1">
                  <c:v>FY28E</c:v>
                </c:pt>
                <c:pt idx="2">
                  <c:v>FY29E</c:v>
                </c:pt>
                <c:pt idx="3">
                  <c:v>FY30E</c:v>
                </c:pt>
                <c:pt idx="4">
                  <c:v>FY31E</c:v>
                </c:pt>
              </c:strCache>
            </c:strRef>
          </c:cat>
          <c:val>
            <c:numRef>
              <c:f>'Chart Data'!$B$30:$F$30</c:f>
              <c:numCache>
                <c:formatCode>#,##0</c:formatCode>
                <c:ptCount val="5"/>
                <c:pt idx="0">
                  <c:v>29431.5</c:v>
                </c:pt>
                <c:pt idx="1">
                  <c:v>33636</c:v>
                </c:pt>
                <c:pt idx="2">
                  <c:v>38485.3</c:v>
                </c:pt>
                <c:pt idx="3">
                  <c:v>43844.5</c:v>
                </c:pt>
                <c:pt idx="4">
                  <c:v>49943.5</c:v>
                </c:pt>
              </c:numCache>
            </c:numRef>
          </c:val>
        </c:ser>
        <c:ser>
          <c:idx val="3"/>
          <c:order val="3"/>
          <c:tx>
            <c:v>P75</c:v>
          </c:tx>
          <c:cat>
            <c:strRef>
              <c:f>'Chart Data'!$B$27:$F$27</c:f>
              <c:strCache>
                <c:ptCount val="5"/>
                <c:pt idx="0">
                  <c:v>FY27E</c:v>
                </c:pt>
                <c:pt idx="1">
                  <c:v>FY28E</c:v>
                </c:pt>
                <c:pt idx="2">
                  <c:v>FY29E</c:v>
                </c:pt>
                <c:pt idx="3">
                  <c:v>FY30E</c:v>
                </c:pt>
                <c:pt idx="4">
                  <c:v>FY31E</c:v>
                </c:pt>
              </c:strCache>
            </c:strRef>
          </c:cat>
          <c:val>
            <c:numRef>
              <c:f>'Chart Data'!$B$31:$F$31</c:f>
              <c:numCache>
                <c:formatCode>#,##0</c:formatCode>
                <c:ptCount val="5"/>
                <c:pt idx="0">
                  <c:v>34094.7</c:v>
                </c:pt>
                <c:pt idx="1">
                  <c:v>38700.1</c:v>
                </c:pt>
                <c:pt idx="2">
                  <c:v>44132.1</c:v>
                </c:pt>
                <c:pt idx="3">
                  <c:v>50655.5</c:v>
                </c:pt>
                <c:pt idx="4">
                  <c:v>58634</c:v>
                </c:pt>
              </c:numCache>
            </c:numRef>
          </c:val>
        </c:ser>
        <c:ser>
          <c:idx val="4"/>
          <c:order val="4"/>
          <c:tx>
            <c:v>P95</c:v>
          </c:tx>
          <c:cat>
            <c:strRef>
              <c:f>'Chart Data'!$B$27:$F$27</c:f>
              <c:strCache>
                <c:ptCount val="5"/>
                <c:pt idx="0">
                  <c:v>FY27E</c:v>
                </c:pt>
                <c:pt idx="1">
                  <c:v>FY28E</c:v>
                </c:pt>
                <c:pt idx="2">
                  <c:v>FY29E</c:v>
                </c:pt>
                <c:pt idx="3">
                  <c:v>FY30E</c:v>
                </c:pt>
                <c:pt idx="4">
                  <c:v>FY31E</c:v>
                </c:pt>
              </c:strCache>
            </c:strRef>
          </c:cat>
          <c:val>
            <c:numRef>
              <c:f>'Chart Data'!$B$32:$F$32</c:f>
              <c:numCache>
                <c:formatCode>#,##0</c:formatCode>
                <c:ptCount val="5"/>
                <c:pt idx="0">
                  <c:v>40674.5</c:v>
                </c:pt>
                <c:pt idx="1">
                  <c:v>45502.1</c:v>
                </c:pt>
                <c:pt idx="2">
                  <c:v>52245.7</c:v>
                </c:pt>
                <c:pt idx="3">
                  <c:v>61410.1</c:v>
                </c:pt>
                <c:pt idx="4">
                  <c:v>73153.5</c:v>
                </c:pt>
              </c:numCache>
            </c:numRef>
          </c:val>
        </c:ser>
        <c:ser>
          <c:idx val="5"/>
          <c:order val="5"/>
          <c:tx>
            <c:v>Base case</c:v>
          </c:tx>
          <c:cat>
            <c:strRef>
              <c:f>'Chart Data'!$B$27:$F$27</c:f>
              <c:strCache>
                <c:ptCount val="5"/>
                <c:pt idx="0">
                  <c:v>FY27E</c:v>
                </c:pt>
                <c:pt idx="1">
                  <c:v>FY28E</c:v>
                </c:pt>
                <c:pt idx="2">
                  <c:v>FY29E</c:v>
                </c:pt>
                <c:pt idx="3">
                  <c:v>FY30E</c:v>
                </c:pt>
                <c:pt idx="4">
                  <c:v>FY31E</c:v>
                </c:pt>
              </c:strCache>
            </c:strRef>
          </c:cat>
          <c:val>
            <c:numRef>
              <c:f>'Chart Data'!$B$33:$F$33</c:f>
              <c:numCache>
                <c:formatCode>#,##0</c:formatCode>
                <c:ptCount val="5"/>
                <c:pt idx="0">
                  <c:v>33069</c:v>
                </c:pt>
                <c:pt idx="1">
                  <c:v>61379</c:v>
                </c:pt>
                <c:pt idx="2">
                  <c:v>68594</c:v>
                </c:pt>
                <c:pt idx="3">
                  <c:v>77156</c:v>
                </c:pt>
                <c:pt idx="4">
                  <c:v>87228</c:v>
                </c:pt>
              </c:numCache>
            </c:numRef>
          </c:val>
        </c:ser>
        <c:axId val="10000001"/>
        <c:axId val="10000002"/>
      </c:line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8.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Football field: base value per share by method (INR)</a:t>
            </a:r>
          </a:p>
        </c:rich>
      </c:tx>
      <c:layout/>
    </c:title>
    <c:autoTitleDeleted val="0"/>
    <c:plotArea>
      <c:layout/>
      <c:barChart>
        <c:barDir val="col"/>
        <c:grouping val="clustered"/>
        <c:overlap val="-20"/>
        <c:gapWidth val="150"/>
        <c:ser>
          <c:idx val="0"/>
          <c:order val="0"/>
          <c:tx>
            <c:v>Base</c:v>
          </c:tx>
          <c:cat>
            <c:strRef>
              <c:f>'Chart Data'!$A$38:$A$41</c:f>
              <c:strCache>
                <c:ptCount val="4"/>
                <c:pt idx="0">
                  <c:v>3-Stage FCFF DCF (ROIC Fade)</c:v>
                </c:pt>
                <c:pt idx="1">
                  <c:v>2-Stage FCFF DCF (Gordon Growth)</c:v>
                </c:pt>
                <c:pt idx="2">
                  <c:v>Exit Multiple DCF (10.5x EV/EBITDA)</c:v>
                </c:pt>
                <c:pt idx="3">
                  <c:v>Peer Trading Comps (25.8x trailing P/E; EV/EBITDA route withheld)</c:v>
                </c:pt>
              </c:strCache>
            </c:strRef>
          </c:cat>
          <c:val>
            <c:numRef>
              <c:f>'Chart Data'!$C$38:$C$41</c:f>
              <c:numCache>
                <c:formatCode>#,##0</c:formatCode>
                <c:ptCount val="4"/>
                <c:pt idx="0">
                  <c:v>2359.67</c:v>
                </c:pt>
                <c:pt idx="1">
                  <c:v>2040.61</c:v>
                </c:pt>
                <c:pt idx="2">
                  <c:v>2517.69</c:v>
                </c:pt>
                <c:pt idx="3">
                  <c:v>1431.96</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drawings/_rels/drawing1.xml.rels><?xml version="1.0" encoding="UTF-8" standalone="yes"?>
<Relationships xmlns="http://schemas.openxmlformats.org/package/2006/relationships">
  <Relationship Id="rIdChart1" Type="http://schemas.openxmlformats.org/officeDocument/2006/relationships/chart" Target="../charts/chart1.xml"/>
  <Relationship Id="rIdChart2" Type="http://schemas.openxmlformats.org/officeDocument/2006/relationships/chart" Target="../charts/chart2.xml"/>
  <Relationship Id="rIdChart3" Type="http://schemas.openxmlformats.org/officeDocument/2006/relationships/chart" Target="../charts/chart3.xml"/>
</Relationships>
</file>

<file path=xl/drawings/_rels/drawing2.xml.rels><?xml version="1.0" encoding="UTF-8" standalone="yes"?>
<Relationships xmlns="http://schemas.openxmlformats.org/package/2006/relationships">
  <Relationship Id="rIdChart4" Type="http://schemas.openxmlformats.org/officeDocument/2006/relationships/chart" Target="../charts/chart4.xml"/>
  <Relationship Id="rIdChart5" Type="http://schemas.openxmlformats.org/officeDocument/2006/relationships/chart" Target="../charts/chart5.xml"/>
  <Relationship Id="rIdChart6" Type="http://schemas.openxmlformats.org/officeDocument/2006/relationships/chart" Target="../charts/chart6.xml"/>
  <Relationship Id="rIdChart7" Type="http://schemas.openxmlformats.org/officeDocument/2006/relationships/chart" Target="../charts/chart7.xml"/>
  <Relationship Id="rIdChart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dr:twoCellAnchor>
    <xdr:from>
      <xdr:col>0</xdr:col>
      <xdr:colOff>0</xdr:colOff>
      <xdr:row>41</xdr:row>
      <xdr:rowOff>0</xdr:rowOff>
    </xdr:from>
    <xdr:to>
      <xdr:col>5</xdr:col>
      <xdr:colOff>0</xdr:colOff>
      <xdr:row>57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1"/>
        </a:graphicData>
      </a:graphic>
    </xdr:graphicFrame>
    <xdr:clientData/>
  </xdr:twoCellAnchor>
  <xdr:twoCellAnchor>
    <xdr:from>
      <xdr:col>5</xdr:col>
      <xdr:colOff>0</xdr:colOff>
      <xdr:row>41</xdr:row>
      <xdr:rowOff>0</xdr:rowOff>
    </xdr:from>
    <xdr:to>
      <xdr:col>11</xdr:col>
      <xdr:colOff>0</xdr:colOff>
      <xdr:row>57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2"/>
        </a:graphicData>
      </a:graphic>
    </xdr:graphicFrame>
    <xdr:clientData/>
  </xdr:twoCellAnchor>
  <xdr:twoCellAnchor>
    <xdr:from>
      <xdr:col>0</xdr:col>
      <xdr:colOff>0</xdr:colOff>
      <xdr:row>58</xdr:row>
      <xdr:rowOff>0</xdr:rowOff>
    </xdr:from>
    <xdr:to>
      <xdr:col>5</xdr:col>
      <xdr:colOff>0</xdr:colOff>
      <xdr:row>74</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3</xdr:row>
      <xdr:rowOff>0</xdr:rowOff>
    </xdr:from>
    <xdr:to>
      <xdr:col>17</xdr:col>
      <xdr:colOff>0</xdr:colOff>
      <xdr:row>19</xdr:row>
      <xdr:rowOff>0</xdr:rowOff>
    </xdr:to>
    <xdr:graphicFrame macro="">
      <xdr:nvGraphicFramePr>
        <xdr:cNvPr id="2"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4"/>
        </a:graphicData>
      </a:graphic>
    </xdr:graphicFrame>
    <xdr:clientData/>
  </xdr:twoCellAnchor>
  <xdr:twoCellAnchor>
    <xdr:from>
      <xdr:col>8</xdr:col>
      <xdr:colOff>0</xdr:colOff>
      <xdr:row>21</xdr:row>
      <xdr:rowOff>0</xdr:rowOff>
    </xdr:from>
    <xdr:to>
      <xdr:col>17</xdr:col>
      <xdr:colOff>0</xdr:colOff>
      <xdr:row>37</xdr:row>
      <xdr:rowOff>0</xdr:rowOff>
    </xdr:to>
    <xdr:graphicFrame macro="">
      <xdr:nvGraphicFramePr>
        <xdr:cNvPr id="3"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5"/>
        </a:graphicData>
      </a:graphic>
    </xdr:graphicFrame>
    <xdr:clientData/>
  </xdr:twoCellAnchor>
  <xdr:twoCellAnchor>
    <xdr:from>
      <xdr:col>8</xdr:col>
      <xdr:colOff>0</xdr:colOff>
      <xdr:row>39</xdr:row>
      <xdr:rowOff>0</xdr:rowOff>
    </xdr:from>
    <xdr:to>
      <xdr:col>17</xdr:col>
      <xdr:colOff>0</xdr:colOff>
      <xdr:row>55</xdr:row>
      <xdr:rowOff>0</xdr:rowOff>
    </xdr:to>
    <xdr:graphicFrame macro="">
      <xdr:nvGraphicFramePr>
        <xdr:cNvPr id="4"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6"/>
        </a:graphicData>
      </a:graphic>
    </xdr:graphicFrame>
    <xdr:clientData/>
  </xdr:twoCellAnchor>
  <xdr:twoCellAnchor>
    <xdr:from>
      <xdr:col>8</xdr:col>
      <xdr:colOff>0</xdr:colOff>
      <xdr:row>57</xdr:row>
      <xdr:rowOff>0</xdr:rowOff>
    </xdr:from>
    <xdr:to>
      <xdr:col>17</xdr:col>
      <xdr:colOff>0</xdr:colOff>
      <xdr:row>73</xdr:row>
      <xdr:rowOff>0</xdr:rowOff>
    </xdr:to>
    <xdr:graphicFrame macro="">
      <xdr:nvGraphicFramePr>
        <xdr:cNvPr id="5"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7"/>
        </a:graphicData>
      </a:graphic>
    </xdr:graphicFrame>
    <xdr:clientData/>
  </xdr:twoCellAnchor>
  <xdr:twoCellAnchor>
    <xdr:from>
      <xdr:col>8</xdr:col>
      <xdr:colOff>0</xdr:colOff>
      <xdr:row>75</xdr:row>
      <xdr:rowOff>0</xdr:rowOff>
    </xdr:from>
    <xdr:to>
      <xdr:col>17</xdr:col>
      <xdr:colOff>0</xdr:colOff>
      <xdr:row>91</xdr:row>
      <xdr:rowOff>0</xdr:rowOff>
    </xdr:to>
    <xdr:graphicFrame macro="">
      <xdr:nvGraphicFramePr>
        <xdr:cNvPr id="6"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  <Relationship Id="rIdDrawing1" Type="http://schemas.openxmlformats.org/officeDocument/2006/relationships/drawing" Target="../drawings/drawing1.xml"/>
</Relationships>
</file>

<file path=xl/worksheets/_rels/sheet15.xml.rels><?xml version="1.0" encoding="UTF-8" standalone="yes"?>
<Relationships xmlns="http://schemas.openxmlformats.org/package/2006/relationships">  <Relationship Id="rIdDrawing2"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2" width="30" customWidth="1"/>
    <col min="3" max="11" width="13" customWidth="1"/>
  </cols>
  <sheetData>
    <row r="1" spans="1:1" x14ac:dyDescent="0.25">
      <c r="A1" s="1" t="s">
        <v>0</v>
      </c>
    </row>
    <row r="2" spans="1:1" x14ac:dyDescent="0.25">
      <c r="A2" s="2" t="s">
        <v>1</v>
      </c>
    </row>
    <row r="5" spans="1:8" x14ac:dyDescent="0.25">
      <c r="A5" s="3" t="s">
        <v>2</v>
      </c>
      <c r="B5" s="4"/>
      <c r="C5" s="4"/>
      <c r="D5" s="4"/>
      <c r="E5" s="4"/>
      <c r="F5" s="4"/>
      <c r="G5" s="4"/>
      <c r="H5" s="4"/>
    </row>
    <row r="6" spans="1:2" x14ac:dyDescent="0.25">
      <c r="A6" s="5" t="s">
        <v>3</v>
      </c>
      <c r="B6" s="6">
        <f>'Valuation'!B7</f>
        <v>1973.7</v>
      </c>
    </row>
    <row r="7" spans="1:2" x14ac:dyDescent="0.25">
      <c r="A7" s="5" t="s">
        <v>4</v>
      </c>
      <c r="B7" s="6">
        <f>'Valuation'!B6</f>
        <v>2359.67</v>
      </c>
    </row>
    <row r="8" spans="1:2" x14ac:dyDescent="0.25">
      <c r="A8" s="5" t="s">
        <v>5</v>
      </c>
      <c r="B8" s="7">
        <f>'Valuation'!B8</f>
        <v>0.19555656888078232</v>
      </c>
    </row>
    <row r="9" spans="1:2" x14ac:dyDescent="0.25">
      <c r="A9" s="5" t="s">
        <v>6</v>
      </c>
      <c r="B9" t="s">
        <v>7</v>
      </c>
    </row>
    <row r="10" spans="1:2" x14ac:dyDescent="0.25">
      <c r="A10" s="5" t="s">
        <v>8</v>
      </c>
      <c r="B10" t="s">
        <v>9</v>
      </c>
    </row>
    <row r="11" ht="30" customHeight="1" spans="1:8" x14ac:dyDescent="0.25">
      <c r="A11" s="5" t="s">
        <v>10</v>
      </c>
      <c r="B11" s="8" t="s">
        <v>11</v>
      </c>
      <c r="C11" s="8"/>
      <c r="D11" s="8"/>
      <c r="E11" s="8"/>
      <c r="F11" s="8"/>
      <c r="G11" s="8"/>
      <c r="H11" s="8"/>
    </row>
    <row r="13" spans="1:11" x14ac:dyDescent="0.25">
      <c r="A13" s="3" t="s">
        <v>12</v>
      </c>
      <c r="B13" s="4"/>
      <c r="C13" s="4"/>
      <c r="D13" s="4"/>
      <c r="E13" s="4"/>
      <c r="F13" s="4"/>
      <c r="G13" s="4"/>
      <c r="H13" s="4"/>
      <c r="I13" s="4"/>
      <c r="J13" s="4"/>
      <c r="K13" s="4"/>
    </row>
    <row r="14" spans="1:11" x14ac:dyDescent="0.25">
      <c r="A14" s="9"/>
      <c r="B14" s="10" t="s">
        <v>13</v>
      </c>
      <c r="C14" s="10" t="s">
        <v>14</v>
      </c>
      <c r="D14" s="10" t="s">
        <v>15</v>
      </c>
      <c r="E14" s="10" t="s">
        <v>16</v>
      </c>
      <c r="F14" s="10" t="s">
        <v>17</v>
      </c>
      <c r="G14" s="10" t="s">
        <v>18</v>
      </c>
      <c r="H14" s="10" t="s">
        <v>19</v>
      </c>
      <c r="I14" s="10" t="s">
        <v>20</v>
      </c>
      <c r="J14" s="10" t="s">
        <v>21</v>
      </c>
      <c r="K14" s="10" t="s">
        <v>22</v>
      </c>
    </row>
    <row r="15" spans="1:11" x14ac:dyDescent="0.25">
      <c r="A15" s="5" t="s">
        <v>23</v>
      </c>
      <c r="B15" s="2" t="s">
        <v>24</v>
      </c>
      <c r="C15" s="11">
        <f>'Income Statement'!B5</f>
        <v>139145</v>
      </c>
      <c r="D15" s="11">
        <f>'Income Statement'!C5</f>
        <v>149982</v>
      </c>
      <c r="E15" s="11">
        <f>'Income Statement'!D5</f>
        <v>172985</v>
      </c>
      <c r="F15" s="11">
        <f>'Income Statement'!E5</f>
        <v>210973</v>
      </c>
      <c r="G15" s="12" t="s">
        <v>25</v>
      </c>
      <c r="H15" s="12" t="s">
        <v>25</v>
      </c>
      <c r="I15" s="12" t="s">
        <v>25</v>
      </c>
      <c r="J15" s="12" t="s">
        <v>25</v>
      </c>
      <c r="K15" s="12" t="s">
        <v>25</v>
      </c>
    </row>
    <row r="16" spans="1:11" x14ac:dyDescent="0.25">
      <c r="A16" s="5" t="s">
        <v>26</v>
      </c>
      <c r="B16" s="2" t="s">
        <v>24</v>
      </c>
      <c r="C16" s="11">
        <f>'Income Statement'!B10</f>
        <v>71274</v>
      </c>
      <c r="D16" s="11">
        <f>'Income Statement'!C10</f>
        <v>77893</v>
      </c>
      <c r="E16" s="11">
        <f>'Income Statement'!D10</f>
        <v>85060</v>
      </c>
      <c r="F16" s="11">
        <f>'Income Statement'!E10</f>
        <v>116514</v>
      </c>
      <c r="G16" s="12" t="s">
        <v>25</v>
      </c>
      <c r="H16" s="12" t="s">
        <v>25</v>
      </c>
      <c r="I16" s="12" t="s">
        <v>25</v>
      </c>
      <c r="J16" s="12" t="s">
        <v>25</v>
      </c>
      <c r="K16" s="12" t="s">
        <v>25</v>
      </c>
    </row>
    <row r="17" spans="1:11" x14ac:dyDescent="0.25">
      <c r="A17" t="s">
        <v>27</v>
      </c>
      <c r="B17" s="2" t="s">
        <v>24</v>
      </c>
      <c r="C17" s="13">
        <f>'Income Statement'!B11</f>
        <v>0.5122282511049624</v>
      </c>
      <c r="D17" s="13">
        <f>'Income Statement'!C11</f>
        <v>0.5193489885452921</v>
      </c>
      <c r="E17" s="13">
        <f>'Income Statement'!D11</f>
        <v>0.49171893516778914</v>
      </c>
      <c r="F17" s="13">
        <f>'Income Statement'!E11</f>
        <v>0.552269721717945</v>
      </c>
      <c r="G17" s="14" t="s">
        <v>25</v>
      </c>
      <c r="H17" s="14" t="s">
        <v>25</v>
      </c>
      <c r="I17" s="14" t="s">
        <v>25</v>
      </c>
      <c r="J17" s="14" t="s">
        <v>25</v>
      </c>
      <c r="K17" s="14" t="s">
        <v>25</v>
      </c>
    </row>
    <row r="18" spans="1:11" x14ac:dyDescent="0.25">
      <c r="A18" s="5" t="s">
        <v>28</v>
      </c>
      <c r="B18" s="2" t="s">
        <v>24</v>
      </c>
      <c r="C18" s="11">
        <f>'Income Statement'!B20</f>
        <v>12287</v>
      </c>
      <c r="D18" s="11">
        <f>'Income Statement'!C20</f>
        <v>8558</v>
      </c>
      <c r="E18" s="11">
        <f>'Income Statement'!D20</f>
        <v>37481</v>
      </c>
      <c r="F18" s="11">
        <f>'Income Statement'!E20</f>
        <v>33823</v>
      </c>
      <c r="G18" s="12" t="s">
        <v>25</v>
      </c>
      <c r="H18" s="12" t="s">
        <v>25</v>
      </c>
      <c r="I18" s="12" t="s">
        <v>25</v>
      </c>
      <c r="J18" s="12" t="s">
        <v>25</v>
      </c>
      <c r="K18" s="12" t="s">
        <v>25</v>
      </c>
    </row>
    <row r="19" spans="1:11" x14ac:dyDescent="0.25">
      <c r="A19" t="s">
        <v>29</v>
      </c>
      <c r="B19" s="2" t="s">
        <v>24</v>
      </c>
      <c r="C19" s="15">
        <f>'Income Statement'!B25</f>
        <v>20.16</v>
      </c>
      <c r="D19" s="15">
        <f>'Income Statement'!C25</f>
        <v>14.04</v>
      </c>
      <c r="E19" s="15">
        <f>'Income Statement'!D25</f>
        <v>61.5</v>
      </c>
      <c r="F19" s="15">
        <f>'Income Statement'!E25</f>
        <v>55.5</v>
      </c>
      <c r="G19" s="14" t="s">
        <v>25</v>
      </c>
      <c r="H19" s="14" t="s">
        <v>25</v>
      </c>
      <c r="I19" s="14" t="s">
        <v>25</v>
      </c>
      <c r="J19" s="14" t="s">
        <v>25</v>
      </c>
      <c r="K19" s="14" t="s">
        <v>25</v>
      </c>
    </row>
    <row r="20" spans="1:11" x14ac:dyDescent="0.25">
      <c r="A20" s="5" t="s">
        <v>30</v>
      </c>
      <c r="B20" s="2" t="s">
        <v>31</v>
      </c>
      <c r="C20" s="11">
        <f>'Cash Flow'!B30</f>
        <v>38787</v>
      </c>
      <c r="D20" s="11">
        <f>'Cash Flow'!C30</f>
        <v>38846</v>
      </c>
      <c r="E20" s="11">
        <f>'Cash Flow'!D30</f>
        <v>58652</v>
      </c>
      <c r="F20" s="11">
        <f>'Cash Flow'!E30</f>
        <v>75516</v>
      </c>
      <c r="G20" s="12" t="s">
        <v>25</v>
      </c>
      <c r="H20" s="12" t="s">
        <v>25</v>
      </c>
      <c r="I20" s="12" t="s">
        <v>25</v>
      </c>
      <c r="J20" s="12" t="s">
        <v>25</v>
      </c>
      <c r="K20" s="12" t="s">
        <v>25</v>
      </c>
    </row>
    <row r="21" spans="1:11" x14ac:dyDescent="0.25">
      <c r="A21" t="s">
        <v>32</v>
      </c>
      <c r="B21" s="2" t="s">
        <v>33</v>
      </c>
      <c r="C21" s="13">
        <v>0.1584131609143535</v>
      </c>
      <c r="D21" s="13">
        <v>0.10725520422102744</v>
      </c>
      <c r="E21" s="13">
        <v>0.38306309436816205</v>
      </c>
      <c r="F21" s="13">
        <v>0.2574744318289949</v>
      </c>
      <c r="G21" s="14" t="s">
        <v>25</v>
      </c>
      <c r="H21" s="14" t="s">
        <v>25</v>
      </c>
      <c r="I21" s="14" t="s">
        <v>25</v>
      </c>
      <c r="J21" s="14" t="s">
        <v>25</v>
      </c>
      <c r="K21" s="14" t="s">
        <v>25</v>
      </c>
    </row>
    <row r="23" spans="1:8" x14ac:dyDescent="0.25">
      <c r="A23" s="3" t="s">
        <v>34</v>
      </c>
      <c r="B23" s="4"/>
      <c r="C23" s="4"/>
      <c r="D23" s="4"/>
      <c r="E23" s="4"/>
      <c r="F23" s="4"/>
      <c r="G23" s="4"/>
      <c r="H23" s="4"/>
    </row>
    <row r="24" spans="1:4" x14ac:dyDescent="0.25">
      <c r="A24" s="9" t="s">
        <v>35</v>
      </c>
      <c r="B24" s="10" t="s">
        <v>36</v>
      </c>
      <c r="C24" s="10" t="s">
        <v>37</v>
      </c>
      <c r="D24" s="10" t="s">
        <v>38</v>
      </c>
    </row>
    <row r="25" spans="1:4" x14ac:dyDescent="0.25">
      <c r="A25" t="s">
        <v>39</v>
      </c>
      <c r="B25" s="16">
        <v>36.42216834698282</v>
      </c>
      <c r="C25" s="5" t="s">
        <v>25</v>
      </c>
      <c r="D25" s="17">
        <v>2</v>
      </c>
    </row>
    <row r="26" spans="1:4" x14ac:dyDescent="0.25">
      <c r="A26" t="s">
        <v>40</v>
      </c>
      <c r="B26" s="16">
        <v>11.989477659337075</v>
      </c>
      <c r="C26" s="5" t="s">
        <v>25</v>
      </c>
      <c r="D26" s="17">
        <v>1</v>
      </c>
    </row>
    <row r="27" spans="1:4" x14ac:dyDescent="0.25">
      <c r="A27" t="s">
        <v>41</v>
      </c>
      <c r="B27" s="16">
        <v>8.264670562268126</v>
      </c>
      <c r="C27" s="5" t="s">
        <v>25</v>
      </c>
      <c r="D27" s="17">
        <v>1</v>
      </c>
    </row>
    <row r="28" spans="1:4" x14ac:dyDescent="0.25">
      <c r="A28" t="s">
        <v>42</v>
      </c>
      <c r="B28" s="18">
        <v>6.130008190553346</v>
      </c>
      <c r="C28" s="5" t="s">
        <v>25</v>
      </c>
      <c r="D28" s="17">
        <v>2</v>
      </c>
    </row>
    <row r="29" spans="1:4" x14ac:dyDescent="0.25">
      <c r="A29" t="s">
        <v>43</v>
      </c>
      <c r="B29" s="18">
        <v>22.69131942813823</v>
      </c>
      <c r="C29" s="5" t="s">
        <v>25</v>
      </c>
      <c r="D29" s="17">
        <v>1</v>
      </c>
    </row>
    <row r="31" spans="1:8" x14ac:dyDescent="0.25">
      <c r="A31" s="3" t="s">
        <v>44</v>
      </c>
      <c r="B31" s="4"/>
      <c r="C31" s="4"/>
      <c r="D31" s="4"/>
      <c r="E31" s="4"/>
      <c r="F31" s="4"/>
      <c r="G31" s="4"/>
      <c r="H31" s="4"/>
    </row>
    <row r="32" spans="1:1" x14ac:dyDescent="0.25">
      <c r="A32" t="s">
        <v>45</v>
      </c>
    </row>
    <row r="33" spans="1:1" x14ac:dyDescent="0.25">
      <c r="A33" t="s">
        <v>46</v>
      </c>
    </row>
    <row r="34" spans="1:1" x14ac:dyDescent="0.25">
      <c r="A34" t="s">
        <v>47</v>
      </c>
    </row>
    <row r="35" spans="1:1" x14ac:dyDescent="0.25">
      <c r="A35" t="s">
        <v>48</v>
      </c>
    </row>
    <row r="36" spans="1:1" x14ac:dyDescent="0.25">
      <c r="A36" t="s">
        <v>49</v>
      </c>
    </row>
    <row r="38" spans="1:1" x14ac:dyDescent="0.25">
      <c r="A38" s="2" t="s">
        <v>50</v>
      </c>
    </row>
    <row r="39" spans="1:1" x14ac:dyDescent="0.25">
      <c r="A39" s="2" t="s">
        <v>51</v>
      </c>
    </row>
    <row r="41" spans="1:4" x14ac:dyDescent="0.25">
      <c r="A41" s="3" t="s">
        <v>52</v>
      </c>
      <c r="B41" s="4"/>
      <c r="C41" s="4"/>
      <c r="D41" s="4"/>
    </row>
    <row r="42" spans="1:2" x14ac:dyDescent="0.25">
      <c r="A42" s="5" t="s">
        <v>53</v>
      </c>
      <c r="B42" t="s">
        <v>54</v>
      </c>
    </row>
    <row r="43" spans="1:2" x14ac:dyDescent="0.25">
      <c r="A43" s="5" t="s">
        <v>55</v>
      </c>
      <c r="B43" t="s">
        <v>56</v>
      </c>
    </row>
    <row r="44" spans="1:2" x14ac:dyDescent="0.25">
      <c r="A44" s="5" t="s">
        <v>57</v>
      </c>
      <c r="B44" t="s">
        <v>58</v>
      </c>
    </row>
    <row r="45" spans="1:2" x14ac:dyDescent="0.25">
      <c r="A45" s="5" t="s">
        <v>59</v>
      </c>
      <c r="B45" t="s">
        <v>60</v>
      </c>
    </row>
    <row r="46" spans="1:2" x14ac:dyDescent="0.25">
      <c r="A46" s="5" t="s">
        <v>61</v>
      </c>
      <c r="B46" t="s">
        <v>62</v>
      </c>
    </row>
    <row r="47" spans="1:2" x14ac:dyDescent="0.25">
      <c r="A47" s="5" t="s">
        <v>63</v>
      </c>
      <c r="B47" t="s">
        <v>64</v>
      </c>
    </row>
    <row r="48" spans="1:2" x14ac:dyDescent="0.25">
      <c r="A48" s="5" t="s">
        <v>65</v>
      </c>
      <c r="B48" t="s">
        <v>66</v>
      </c>
    </row>
    <row r="49" spans="1:2" x14ac:dyDescent="0.25">
      <c r="A49" s="5" t="s">
        <v>67</v>
      </c>
      <c r="B49" t="s">
        <v>68</v>
      </c>
    </row>
    <row r="50" spans="1:2" x14ac:dyDescent="0.25">
      <c r="A50" s="5" t="s">
        <v>69</v>
      </c>
      <c r="B50" t="s">
        <v>70</v>
      </c>
    </row>
    <row r="51" spans="1:2" x14ac:dyDescent="0.25">
      <c r="A51" s="5" t="s">
        <v>71</v>
      </c>
      <c r="B51" t="s">
        <v>72</v>
      </c>
    </row>
    <row r="52" spans="1:2" x14ac:dyDescent="0.25">
      <c r="A52" s="5" t="s">
        <v>73</v>
      </c>
      <c r="B52" t="s">
        <v>74</v>
      </c>
    </row>
    <row r="53" spans="1:2" x14ac:dyDescent="0.25">
      <c r="A53" s="5" t="s">
        <v>75</v>
      </c>
      <c r="B53" t="s">
        <v>76</v>
      </c>
    </row>
    <row r="54" spans="1:2" x14ac:dyDescent="0.25">
      <c r="A54" s="5" t="s">
        <v>6</v>
      </c>
      <c r="B54" t="s">
        <v>77</v>
      </c>
    </row>
    <row r="55" spans="1:2" x14ac:dyDescent="0.25">
      <c r="A55" s="5" t="s">
        <v>78</v>
      </c>
      <c r="B55" t="s">
        <v>79</v>
      </c>
    </row>
    <row r="56" spans="1:2" x14ac:dyDescent="0.25">
      <c r="A56" s="5" t="s">
        <v>80</v>
      </c>
      <c r="B56" t="s">
        <v>81</v>
      </c>
    </row>
    <row r="57" spans="1:2" x14ac:dyDescent="0.25">
      <c r="A57" s="5" t="s">
        <v>82</v>
      </c>
      <c r="B57" t="s">
        <v>83</v>
      </c>
    </row>
    <row r="58" spans="1:2" x14ac:dyDescent="0.25">
      <c r="A58" s="5" t="s">
        <v>84</v>
      </c>
      <c r="B58" t="s">
        <v>85</v>
      </c>
    </row>
    <row r="59" spans="1:2" x14ac:dyDescent="0.25">
      <c r="A59" s="5" t="s">
        <v>86</v>
      </c>
      <c r="B59" t="s">
        <v>87</v>
      </c>
    </row>
    <row r="60" spans="1:2" x14ac:dyDescent="0.25">
      <c r="A60" s="5" t="s">
        <v>88</v>
      </c>
      <c r="B60" t="s">
        <v>89</v>
      </c>
    </row>
  </sheetData>
  <mergeCells count="1">
    <mergeCell ref="B11:H11"/>
  </mergeCells>
  <pageMargins left="0.7" right="0.7" top="0.75" bottom="0.75" header="0.3" footer="0.3"/>
  <pageSetup orientation="portrait" horizontalDpi="4294967295" verticalDpi="4294967295" scale="100" fitToWidth="1" fitToHeight="1"/>
  <drawing r:id="rIdDrawing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10" width="13" customWidth="1"/>
  </cols>
  <sheetData>
    <row r="1" spans="1:1" x14ac:dyDescent="0.25">
      <c r="A1" s="1" t="s">
        <v>90</v>
      </c>
    </row>
    <row r="2" spans="1:1" x14ac:dyDescent="0.25">
      <c r="A2" s="2" t="s">
        <v>91</v>
      </c>
    </row>
    <row r="3" spans="1:1" x14ac:dyDescent="0.25">
      <c r="A3" s="2" t="s">
        <v>92</v>
      </c>
    </row>
    <row r="4" spans="1:10" x14ac:dyDescent="0.25">
      <c r="A4" s="9"/>
      <c r="B4" s="10" t="s">
        <v>14</v>
      </c>
      <c r="C4" s="10" t="s">
        <v>15</v>
      </c>
      <c r="D4" s="10" t="s">
        <v>16</v>
      </c>
      <c r="E4" s="10" t="s">
        <v>17</v>
      </c>
      <c r="F4" s="10" t="s">
        <v>18</v>
      </c>
      <c r="G4" s="10" t="s">
        <v>19</v>
      </c>
      <c r="H4" s="10" t="s">
        <v>20</v>
      </c>
      <c r="I4" s="10" t="s">
        <v>21</v>
      </c>
      <c r="J4" s="10" t="s">
        <v>22</v>
      </c>
    </row>
    <row r="5" spans="1:10" x14ac:dyDescent="0.25">
      <c r="A5" s="5" t="s">
        <v>23</v>
      </c>
      <c r="B5" s="19">
        <v>139145</v>
      </c>
      <c r="C5" s="19">
        <v>149982</v>
      </c>
      <c r="D5" s="19">
        <v>172985</v>
      </c>
      <c r="E5" s="19">
        <v>210973</v>
      </c>
      <c r="F5" s="20" t="s">
        <v>25</v>
      </c>
      <c r="G5" s="20" t="s">
        <v>25</v>
      </c>
      <c r="H5" s="20" t="s">
        <v>25</v>
      </c>
      <c r="I5" s="20" t="s">
        <v>25</v>
      </c>
      <c r="J5" s="20" t="s">
        <v>25</v>
      </c>
    </row>
    <row r="6" spans="1:10" x14ac:dyDescent="0.25">
      <c r="A6" t="s">
        <v>93</v>
      </c>
      <c r="B6" s="21" t="s">
        <v>25</v>
      </c>
      <c r="C6" s="22">
        <f>C5/B5-1</f>
        <v>0.07788278414603478</v>
      </c>
      <c r="D6" s="22">
        <f>D5/C5-1</f>
        <v>0.1533717379418864</v>
      </c>
      <c r="E6" s="22">
        <f>E5/D5-1</f>
        <v>0.2196028557389369</v>
      </c>
      <c r="F6" s="23" t="s">
        <v>25</v>
      </c>
      <c r="G6" s="23" t="s">
        <v>25</v>
      </c>
      <c r="H6" s="23" t="s">
        <v>25</v>
      </c>
      <c r="I6" s="23" t="s">
        <v>25</v>
      </c>
      <c r="J6" s="23" t="s">
        <v>25</v>
      </c>
    </row>
    <row r="7" spans="1:10" x14ac:dyDescent="0.25">
      <c r="A7" t="s">
        <v>94</v>
      </c>
      <c r="B7" s="21" t="s">
        <v>25</v>
      </c>
      <c r="C7" s="21" t="s">
        <v>25</v>
      </c>
      <c r="D7" s="21" t="s">
        <v>25</v>
      </c>
      <c r="E7" s="21" t="s">
        <v>25</v>
      </c>
      <c r="F7" s="23" t="s">
        <v>25</v>
      </c>
      <c r="G7" s="23" t="s">
        <v>25</v>
      </c>
      <c r="H7" s="23" t="s">
        <v>25</v>
      </c>
      <c r="I7" s="23" t="s">
        <v>25</v>
      </c>
      <c r="J7" s="23" t="s">
        <v>25</v>
      </c>
    </row>
    <row r="8" spans="1:10" x14ac:dyDescent="0.25">
      <c r="A8" t="s">
        <v>95</v>
      </c>
      <c r="B8" s="21" t="s">
        <v>25</v>
      </c>
      <c r="C8" s="21" t="s">
        <v>25</v>
      </c>
      <c r="D8" s="21" t="s">
        <v>25</v>
      </c>
      <c r="E8" s="21" t="s">
        <v>25</v>
      </c>
      <c r="F8" s="23" t="s">
        <v>25</v>
      </c>
      <c r="G8" s="23" t="s">
        <v>25</v>
      </c>
      <c r="H8" s="23" t="s">
        <v>25</v>
      </c>
      <c r="I8" s="23" t="s">
        <v>25</v>
      </c>
      <c r="J8" s="23" t="s">
        <v>25</v>
      </c>
    </row>
    <row r="9" spans="1:10" x14ac:dyDescent="0.25">
      <c r="A9" t="s">
        <v>96</v>
      </c>
      <c r="B9" s="24">
        <v>67871</v>
      </c>
      <c r="C9" s="24">
        <v>72089</v>
      </c>
      <c r="D9" s="24">
        <v>87925</v>
      </c>
      <c r="E9" s="24">
        <v>94459</v>
      </c>
      <c r="F9" s="23" t="s">
        <v>25</v>
      </c>
      <c r="G9" s="23" t="s">
        <v>25</v>
      </c>
      <c r="H9" s="23" t="s">
        <v>25</v>
      </c>
      <c r="I9" s="23" t="s">
        <v>25</v>
      </c>
      <c r="J9" s="23" t="s">
        <v>25</v>
      </c>
    </row>
    <row r="10" spans="1:10" x14ac:dyDescent="0.25">
      <c r="A10" s="5" t="s">
        <v>97</v>
      </c>
      <c r="B10" s="19">
        <f>B5-B9</f>
        <v>71274</v>
      </c>
      <c r="C10" s="19">
        <f>C5-C9</f>
        <v>77893</v>
      </c>
      <c r="D10" s="19">
        <f>D5-D9</f>
        <v>85060</v>
      </c>
      <c r="E10" s="19">
        <f>E5-E9</f>
        <v>116514</v>
      </c>
      <c r="F10" s="20" t="s">
        <v>25</v>
      </c>
      <c r="G10" s="20" t="s">
        <v>25</v>
      </c>
      <c r="H10" s="20" t="s">
        <v>25</v>
      </c>
      <c r="I10" s="20" t="s">
        <v>25</v>
      </c>
      <c r="J10" s="20" t="s">
        <v>25</v>
      </c>
    </row>
    <row r="11" spans="1:10" x14ac:dyDescent="0.25">
      <c r="A11" t="s">
        <v>98</v>
      </c>
      <c r="B11" s="22">
        <f>B10/B5</f>
        <v>0.5122282511049624</v>
      </c>
      <c r="C11" s="22">
        <f>C10/C5</f>
        <v>0.5193489885452921</v>
      </c>
      <c r="D11" s="22">
        <f>D10/D5</f>
        <v>0.49171893516778914</v>
      </c>
      <c r="E11" s="22">
        <f>E10/E5</f>
        <v>0.552269721717945</v>
      </c>
      <c r="F11" s="23" t="s">
        <v>25</v>
      </c>
      <c r="G11" s="23" t="s">
        <v>25</v>
      </c>
      <c r="H11" s="23" t="s">
        <v>25</v>
      </c>
      <c r="I11" s="23" t="s">
        <v>25</v>
      </c>
      <c r="J11" s="23" t="s">
        <v>25</v>
      </c>
    </row>
    <row r="12" spans="1:10" x14ac:dyDescent="0.25">
      <c r="A12" t="s">
        <v>99</v>
      </c>
      <c r="B12" s="24">
        <v>36432</v>
      </c>
      <c r="C12" s="24">
        <v>39538</v>
      </c>
      <c r="D12" s="24">
        <v>45570</v>
      </c>
      <c r="E12" s="24">
        <v>52711</v>
      </c>
      <c r="F12" s="23" t="s">
        <v>25</v>
      </c>
      <c r="G12" s="23" t="s">
        <v>25</v>
      </c>
      <c r="H12" s="23" t="s">
        <v>25</v>
      </c>
      <c r="I12" s="23" t="s">
        <v>25</v>
      </c>
      <c r="J12" s="23" t="s">
        <v>25</v>
      </c>
    </row>
    <row r="13" spans="1:10" x14ac:dyDescent="0.25">
      <c r="A13" s="5" t="s">
        <v>100</v>
      </c>
      <c r="B13" s="19">
        <f>B10-B12</f>
        <v>34842</v>
      </c>
      <c r="C13" s="19">
        <f>C10-C12</f>
        <v>38355</v>
      </c>
      <c r="D13" s="19">
        <f>D10-D12</f>
        <v>39490</v>
      </c>
      <c r="E13" s="19">
        <f>E10-E12</f>
        <v>63803</v>
      </c>
      <c r="F13" s="20" t="s">
        <v>25</v>
      </c>
      <c r="G13" s="20" t="s">
        <v>25</v>
      </c>
      <c r="H13" s="20" t="s">
        <v>25</v>
      </c>
      <c r="I13" s="20" t="s">
        <v>25</v>
      </c>
      <c r="J13" s="20" t="s">
        <v>25</v>
      </c>
    </row>
    <row r="14" spans="1:10" x14ac:dyDescent="0.25">
      <c r="A14" t="s">
        <v>101</v>
      </c>
      <c r="B14" s="22">
        <f>B13/B5</f>
        <v>0.25040066118078264</v>
      </c>
      <c r="C14" s="22">
        <f>C13/C5</f>
        <v>0.2557306876825219</v>
      </c>
      <c r="D14" s="22">
        <f>D13/D5</f>
        <v>0.2282856895106512</v>
      </c>
      <c r="E14" s="22">
        <f>E13/E5</f>
        <v>0.30242258488052975</v>
      </c>
      <c r="F14" s="23" t="s">
        <v>25</v>
      </c>
      <c r="G14" s="23" t="s">
        <v>25</v>
      </c>
      <c r="H14" s="23" t="s">
        <v>25</v>
      </c>
      <c r="I14" s="23" t="s">
        <v>25</v>
      </c>
      <c r="J14" s="23" t="s">
        <v>25</v>
      </c>
    </row>
    <row r="15" spans="1:10" x14ac:dyDescent="0.25">
      <c r="A15" t="s">
        <v>102</v>
      </c>
      <c r="B15" s="24">
        <v>1019</v>
      </c>
      <c r="C15" s="24">
        <v>-3028</v>
      </c>
      <c r="D15" s="24">
        <v>20662</v>
      </c>
      <c r="E15" s="24">
        <v>2925</v>
      </c>
      <c r="F15" s="23" t="s">
        <v>25</v>
      </c>
      <c r="G15" s="23" t="s">
        <v>25</v>
      </c>
      <c r="H15" s="23" t="s">
        <v>25</v>
      </c>
      <c r="I15" s="23" t="s">
        <v>25</v>
      </c>
      <c r="J15" s="23" t="s">
        <v>25</v>
      </c>
    </row>
    <row r="16" spans="1:10" x14ac:dyDescent="0.25">
      <c r="A16" t="s">
        <v>103</v>
      </c>
      <c r="B16" s="24">
        <v>19300</v>
      </c>
      <c r="C16" s="24">
        <v>22648</v>
      </c>
      <c r="D16" s="24">
        <v>21754</v>
      </c>
      <c r="E16" s="24">
        <v>21555</v>
      </c>
      <c r="F16" s="23" t="s">
        <v>25</v>
      </c>
      <c r="G16" s="23" t="s">
        <v>25</v>
      </c>
      <c r="H16" s="23" t="s">
        <v>25</v>
      </c>
      <c r="I16" s="23" t="s">
        <v>25</v>
      </c>
      <c r="J16" s="23" t="s">
        <v>25</v>
      </c>
    </row>
    <row r="17" spans="1:10" x14ac:dyDescent="0.25">
      <c r="A17" t="s">
        <v>104</v>
      </c>
      <c r="B17" s="21" t="s">
        <v>25</v>
      </c>
      <c r="C17" s="21" t="s">
        <v>25</v>
      </c>
      <c r="D17" s="21" t="s">
        <v>25</v>
      </c>
      <c r="E17" s="21" t="s">
        <v>25</v>
      </c>
      <c r="F17" s="23" t="s">
        <v>25</v>
      </c>
      <c r="G17" s="23" t="s">
        <v>25</v>
      </c>
      <c r="H17" s="23" t="s">
        <v>25</v>
      </c>
      <c r="I17" s="23" t="s">
        <v>25</v>
      </c>
      <c r="J17" s="23" t="s">
        <v>25</v>
      </c>
    </row>
    <row r="18" spans="1:10" x14ac:dyDescent="0.25">
      <c r="A18" s="5" t="s">
        <v>105</v>
      </c>
      <c r="B18" s="19">
        <f>B13+B15-B16+SUM(B17)</f>
        <v>16561</v>
      </c>
      <c r="C18" s="19">
        <f>C13+C15-C16+SUM(C17)</f>
        <v>12679</v>
      </c>
      <c r="D18" s="19">
        <f>D13+D15-D16+SUM(D17)</f>
        <v>38398</v>
      </c>
      <c r="E18" s="19">
        <f>E13+E15-E16+SUM(E17)</f>
        <v>45173</v>
      </c>
      <c r="F18" s="20" t="s">
        <v>25</v>
      </c>
      <c r="G18" s="20" t="s">
        <v>25</v>
      </c>
      <c r="H18" s="20" t="s">
        <v>25</v>
      </c>
      <c r="I18" s="20" t="s">
        <v>25</v>
      </c>
      <c r="J18" s="20" t="s">
        <v>25</v>
      </c>
    </row>
    <row r="19" spans="1:10" x14ac:dyDescent="0.25">
      <c r="A19" t="s">
        <v>106</v>
      </c>
      <c r="B19" s="24">
        <v>4305.9</v>
      </c>
      <c r="C19" s="24">
        <v>4057.3</v>
      </c>
      <c r="D19" s="24">
        <v>768</v>
      </c>
      <c r="E19" s="24">
        <v>11293.3</v>
      </c>
      <c r="F19" s="23" t="s">
        <v>25</v>
      </c>
      <c r="G19" s="23" t="s">
        <v>25</v>
      </c>
      <c r="H19" s="23" t="s">
        <v>25</v>
      </c>
      <c r="I19" s="23" t="s">
        <v>25</v>
      </c>
      <c r="J19" s="23" t="s">
        <v>25</v>
      </c>
    </row>
    <row r="20" spans="1:10" x14ac:dyDescent="0.25">
      <c r="A20" s="5" t="s">
        <v>107</v>
      </c>
      <c r="B20" s="19">
        <v>12287</v>
      </c>
      <c r="C20" s="19">
        <v>8558</v>
      </c>
      <c r="D20" s="19">
        <v>37481</v>
      </c>
      <c r="E20" s="19">
        <v>33823</v>
      </c>
      <c r="F20" s="20" t="s">
        <v>25</v>
      </c>
      <c r="G20" s="20" t="s">
        <v>25</v>
      </c>
      <c r="H20" s="20" t="s">
        <v>25</v>
      </c>
      <c r="I20" s="20" t="s">
        <v>25</v>
      </c>
      <c r="J20" s="20" t="s">
        <v>25</v>
      </c>
    </row>
    <row r="21" spans="1:10" x14ac:dyDescent="0.25">
      <c r="A21" t="s">
        <v>108</v>
      </c>
      <c r="B21" s="22">
        <f>B20/B5</f>
        <v>0.08830356822020195</v>
      </c>
      <c r="C21" s="22">
        <f>C20/C5</f>
        <v>0.05706018055499993</v>
      </c>
      <c r="D21" s="22">
        <f>D20/D5</f>
        <v>0.21667196577737954</v>
      </c>
      <c r="E21" s="22">
        <f>E20/E5</f>
        <v>0.16031909296450256</v>
      </c>
      <c r="F21" s="23" t="s">
        <v>25</v>
      </c>
      <c r="G21" s="23" t="s">
        <v>25</v>
      </c>
      <c r="H21" s="23" t="s">
        <v>25</v>
      </c>
      <c r="I21" s="23" t="s">
        <v>25</v>
      </c>
      <c r="J21" s="23" t="s">
        <v>25</v>
      </c>
    </row>
    <row r="22" spans="1:10" x14ac:dyDescent="0.25">
      <c r="A22" t="s">
        <v>109</v>
      </c>
      <c r="B22" s="21" t="s">
        <v>25</v>
      </c>
      <c r="C22" s="21" t="s">
        <v>25</v>
      </c>
      <c r="D22" s="21" t="s">
        <v>25</v>
      </c>
      <c r="E22" s="21" t="s">
        <v>25</v>
      </c>
      <c r="F22" s="23" t="s">
        <v>25</v>
      </c>
      <c r="G22" s="23" t="s">
        <v>25</v>
      </c>
      <c r="H22" s="23" t="s">
        <v>25</v>
      </c>
      <c r="I22" s="23" t="s">
        <v>25</v>
      </c>
      <c r="J22" s="23" t="s">
        <v>25</v>
      </c>
    </row>
    <row r="23" spans="1:10" x14ac:dyDescent="0.25">
      <c r="A23" s="5" t="s">
        <v>110</v>
      </c>
      <c r="B23" s="25" t="s">
        <v>25</v>
      </c>
      <c r="C23" s="25" t="s">
        <v>25</v>
      </c>
      <c r="D23" s="25" t="s">
        <v>25</v>
      </c>
      <c r="E23" s="25" t="s">
        <v>25</v>
      </c>
      <c r="F23" s="20" t="s">
        <v>25</v>
      </c>
      <c r="G23" s="20" t="s">
        <v>25</v>
      </c>
      <c r="H23" s="20" t="s">
        <v>25</v>
      </c>
      <c r="I23" s="20" t="s">
        <v>25</v>
      </c>
      <c r="J23" s="20" t="s">
        <v>25</v>
      </c>
    </row>
    <row r="24" spans="1:10" x14ac:dyDescent="0.25">
      <c r="A24" t="s">
        <v>111</v>
      </c>
      <c r="B24" s="26">
        <v>609.4</v>
      </c>
      <c r="C24" s="26">
        <v>609.4</v>
      </c>
      <c r="D24" s="26">
        <v>609.4</v>
      </c>
      <c r="E24" s="26">
        <v>609.4</v>
      </c>
      <c r="F24" s="23" t="s">
        <v>25</v>
      </c>
      <c r="G24" s="23" t="s">
        <v>25</v>
      </c>
      <c r="H24" s="23" t="s">
        <v>25</v>
      </c>
      <c r="I24" s="23" t="s">
        <v>25</v>
      </c>
      <c r="J24" s="23" t="s">
        <v>25</v>
      </c>
    </row>
    <row r="25" spans="1:10" x14ac:dyDescent="0.25">
      <c r="A25" s="5" t="s">
        <v>29</v>
      </c>
      <c r="B25" s="27">
        <v>20.16</v>
      </c>
      <c r="C25" s="27">
        <v>14.04</v>
      </c>
      <c r="D25" s="27">
        <v>61.5</v>
      </c>
      <c r="E25" s="27">
        <v>55.5</v>
      </c>
      <c r="F25" s="20" t="s">
        <v>25</v>
      </c>
      <c r="G25" s="20" t="s">
        <v>25</v>
      </c>
      <c r="H25" s="20" t="s">
        <v>25</v>
      </c>
      <c r="I25" s="20" t="s">
        <v>25</v>
      </c>
      <c r="J25" s="20" t="s">
        <v>25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10" width="13" customWidth="1"/>
  </cols>
  <sheetData>
    <row r="1" spans="1:1" x14ac:dyDescent="0.25">
      <c r="A1" s="1" t="s">
        <v>112</v>
      </c>
    </row>
    <row r="2" spans="1:1" x14ac:dyDescent="0.25">
      <c r="A2" s="2" t="s">
        <v>91</v>
      </c>
    </row>
    <row r="3" spans="1:1" x14ac:dyDescent="0.25">
      <c r="A3" s="2" t="s">
        <v>92</v>
      </c>
    </row>
    <row r="4" spans="1:10" x14ac:dyDescent="0.25">
      <c r="A4" s="9"/>
      <c r="B4" s="10" t="s">
        <v>14</v>
      </c>
      <c r="C4" s="10" t="s">
        <v>15</v>
      </c>
      <c r="D4" s="10" t="s">
        <v>16</v>
      </c>
      <c r="E4" s="10" t="s">
        <v>17</v>
      </c>
      <c r="F4" s="10" t="s">
        <v>18</v>
      </c>
      <c r="G4" s="10" t="s">
        <v>19</v>
      </c>
      <c r="H4" s="10" t="s">
        <v>20</v>
      </c>
      <c r="I4" s="10" t="s">
        <v>21</v>
      </c>
      <c r="J4" s="10" t="s">
        <v>22</v>
      </c>
    </row>
    <row r="5" spans="1:10" x14ac:dyDescent="0.25">
      <c r="A5" s="3" t="s">
        <v>113</v>
      </c>
      <c r="B5" s="4"/>
      <c r="C5" s="4"/>
      <c r="D5" s="4"/>
      <c r="E5" s="4"/>
      <c r="F5" s="4"/>
      <c r="G5" s="4"/>
      <c r="H5" s="4"/>
      <c r="I5" s="4"/>
      <c r="J5" s="4"/>
    </row>
    <row r="6" spans="1:10" x14ac:dyDescent="0.25">
      <c r="A6" t="s">
        <v>114</v>
      </c>
      <c r="B6" s="24">
        <v>13419</v>
      </c>
      <c r="C6" s="24">
        <v>16340</v>
      </c>
      <c r="D6" s="24">
        <v>16720</v>
      </c>
      <c r="E6" s="24">
        <v>30377</v>
      </c>
      <c r="F6" s="23" t="s">
        <v>25</v>
      </c>
      <c r="G6" s="23" t="s">
        <v>25</v>
      </c>
      <c r="H6" s="23" t="s">
        <v>25</v>
      </c>
      <c r="I6" s="23" t="s">
        <v>25</v>
      </c>
      <c r="J6" s="23" t="s">
        <v>25</v>
      </c>
    </row>
    <row r="7" spans="1:10" x14ac:dyDescent="0.25">
      <c r="A7" t="s">
        <v>115</v>
      </c>
      <c r="B7" s="21" t="s">
        <v>25</v>
      </c>
      <c r="C7" s="21" t="s">
        <v>25</v>
      </c>
      <c r="D7" s="21" t="s">
        <v>25</v>
      </c>
      <c r="E7" s="21" t="s">
        <v>25</v>
      </c>
      <c r="F7" s="23" t="s">
        <v>25</v>
      </c>
      <c r="G7" s="23" t="s">
        <v>25</v>
      </c>
      <c r="H7" s="23" t="s">
        <v>25</v>
      </c>
      <c r="I7" s="23" t="s">
        <v>25</v>
      </c>
      <c r="J7" s="23" t="s">
        <v>25</v>
      </c>
    </row>
    <row r="8" spans="1:10" x14ac:dyDescent="0.25">
      <c r="A8" t="s">
        <v>116</v>
      </c>
      <c r="B8" s="24">
        <v>3982</v>
      </c>
      <c r="C8" s="24">
        <v>4728</v>
      </c>
      <c r="D8" s="24">
        <v>7456</v>
      </c>
      <c r="E8" s="24">
        <v>7978</v>
      </c>
      <c r="F8" s="23" t="s">
        <v>25</v>
      </c>
      <c r="G8" s="23" t="s">
        <v>25</v>
      </c>
      <c r="H8" s="23" t="s">
        <v>25</v>
      </c>
      <c r="I8" s="23" t="s">
        <v>25</v>
      </c>
      <c r="J8" s="23" t="s">
        <v>25</v>
      </c>
    </row>
    <row r="9" spans="1:10" x14ac:dyDescent="0.25">
      <c r="A9" t="s">
        <v>117</v>
      </c>
      <c r="B9" s="24">
        <v>258</v>
      </c>
      <c r="C9" s="24">
        <v>364</v>
      </c>
      <c r="D9" s="24">
        <v>452</v>
      </c>
      <c r="E9" s="24">
        <v>601</v>
      </c>
      <c r="F9" s="23" t="s">
        <v>25</v>
      </c>
      <c r="G9" s="23" t="s">
        <v>25</v>
      </c>
      <c r="H9" s="23" t="s">
        <v>25</v>
      </c>
      <c r="I9" s="23" t="s">
        <v>25</v>
      </c>
      <c r="J9" s="23" t="s">
        <v>25</v>
      </c>
    </row>
    <row r="10" spans="1:10" x14ac:dyDescent="0.25">
      <c r="A10" t="s">
        <v>118</v>
      </c>
      <c r="B10" s="21" t="s">
        <v>25</v>
      </c>
      <c r="C10" s="21" t="s">
        <v>25</v>
      </c>
      <c r="D10" s="21" t="s">
        <v>25</v>
      </c>
      <c r="E10" s="21" t="s">
        <v>25</v>
      </c>
      <c r="F10" s="23" t="s">
        <v>25</v>
      </c>
      <c r="G10" s="23" t="s">
        <v>25</v>
      </c>
      <c r="H10" s="23" t="s">
        <v>25</v>
      </c>
      <c r="I10" s="23" t="s">
        <v>25</v>
      </c>
      <c r="J10" s="23" t="s">
        <v>25</v>
      </c>
    </row>
    <row r="11" spans="1:10" x14ac:dyDescent="0.25">
      <c r="A11" s="5" t="s">
        <v>119</v>
      </c>
      <c r="B11" s="25" t="s">
        <v>25</v>
      </c>
      <c r="C11" s="25" t="s">
        <v>25</v>
      </c>
      <c r="D11" s="25" t="s">
        <v>25</v>
      </c>
      <c r="E11" s="25" t="s">
        <v>25</v>
      </c>
      <c r="F11" s="20" t="s">
        <v>25</v>
      </c>
      <c r="G11" s="20" t="s">
        <v>25</v>
      </c>
      <c r="H11" s="20" t="s">
        <v>25</v>
      </c>
      <c r="I11" s="20" t="s">
        <v>25</v>
      </c>
      <c r="J11" s="20" t="s">
        <v>25</v>
      </c>
    </row>
    <row r="12" spans="1:10" x14ac:dyDescent="0.25">
      <c r="A12" s="3" t="s">
        <v>120</v>
      </c>
      <c r="B12" s="4"/>
      <c r="C12" s="4"/>
      <c r="D12" s="4"/>
      <c r="E12" s="4"/>
      <c r="F12" s="4"/>
      <c r="G12" s="4"/>
      <c r="H12" s="4"/>
      <c r="I12" s="4"/>
      <c r="J12" s="4"/>
    </row>
    <row r="13" spans="1:10" x14ac:dyDescent="0.25">
      <c r="A13" t="s">
        <v>121</v>
      </c>
      <c r="B13" s="24">
        <v>277394</v>
      </c>
      <c r="C13" s="24">
        <v>303303</v>
      </c>
      <c r="D13" s="24">
        <v>388468</v>
      </c>
      <c r="E13" s="24">
        <v>406337</v>
      </c>
      <c r="F13" s="23" t="s">
        <v>25</v>
      </c>
      <c r="G13" s="23" t="s">
        <v>25</v>
      </c>
      <c r="H13" s="23" t="s">
        <v>25</v>
      </c>
      <c r="I13" s="23" t="s">
        <v>25</v>
      </c>
      <c r="J13" s="23" t="s">
        <v>25</v>
      </c>
    </row>
    <row r="14" spans="1:10" x14ac:dyDescent="0.25">
      <c r="A14" t="s">
        <v>122</v>
      </c>
      <c r="B14" s="21" t="s">
        <v>25</v>
      </c>
      <c r="C14" s="21" t="s">
        <v>25</v>
      </c>
      <c r="D14" s="21" t="s">
        <v>25</v>
      </c>
      <c r="E14" s="21" t="s">
        <v>25</v>
      </c>
      <c r="F14" s="23" t="s">
        <v>25</v>
      </c>
      <c r="G14" s="23" t="s">
        <v>25</v>
      </c>
      <c r="H14" s="23" t="s">
        <v>25</v>
      </c>
      <c r="I14" s="23" t="s">
        <v>25</v>
      </c>
      <c r="J14" s="23" t="s">
        <v>25</v>
      </c>
    </row>
    <row r="15" spans="1:10" x14ac:dyDescent="0.25">
      <c r="A15" t="s">
        <v>123</v>
      </c>
      <c r="B15" s="24">
        <v>32954</v>
      </c>
      <c r="C15" s="24">
        <v>31602</v>
      </c>
      <c r="D15" s="24">
        <v>5838</v>
      </c>
      <c r="E15" s="24">
        <v>18901</v>
      </c>
      <c r="F15" s="23" t="s">
        <v>25</v>
      </c>
      <c r="G15" s="23" t="s">
        <v>25</v>
      </c>
      <c r="H15" s="23" t="s">
        <v>25</v>
      </c>
      <c r="I15" s="23" t="s">
        <v>25</v>
      </c>
      <c r="J15" s="23" t="s">
        <v>25</v>
      </c>
    </row>
    <row r="16" spans="1:10" x14ac:dyDescent="0.25">
      <c r="A16" t="s">
        <v>124</v>
      </c>
      <c r="B16" s="21" t="s">
        <v>25</v>
      </c>
      <c r="C16" s="21" t="s">
        <v>25</v>
      </c>
      <c r="D16" s="21" t="s">
        <v>25</v>
      </c>
      <c r="E16" s="21" t="s">
        <v>25</v>
      </c>
      <c r="F16" s="23" t="s">
        <v>25</v>
      </c>
      <c r="G16" s="23" t="s">
        <v>25</v>
      </c>
      <c r="H16" s="23" t="s">
        <v>25</v>
      </c>
      <c r="I16" s="23" t="s">
        <v>25</v>
      </c>
      <c r="J16" s="23" t="s">
        <v>25</v>
      </c>
    </row>
    <row r="17" spans="1:10" x14ac:dyDescent="0.25">
      <c r="A17" s="5" t="s">
        <v>125</v>
      </c>
      <c r="B17" s="25" t="s">
        <v>25</v>
      </c>
      <c r="C17" s="25" t="s">
        <v>25</v>
      </c>
      <c r="D17" s="25" t="s">
        <v>25</v>
      </c>
      <c r="E17" s="25" t="s">
        <v>25</v>
      </c>
      <c r="F17" s="20" t="s">
        <v>25</v>
      </c>
      <c r="G17" s="20" t="s">
        <v>25</v>
      </c>
      <c r="H17" s="20" t="s">
        <v>25</v>
      </c>
      <c r="I17" s="20" t="s">
        <v>25</v>
      </c>
      <c r="J17" s="20" t="s">
        <v>25</v>
      </c>
    </row>
    <row r="18" spans="1:10" x14ac:dyDescent="0.25">
      <c r="A18" s="5" t="s">
        <v>126</v>
      </c>
      <c r="B18" s="19">
        <v>444557</v>
      </c>
      <c r="C18" s="19">
        <v>442019</v>
      </c>
      <c r="D18" s="19">
        <v>505006</v>
      </c>
      <c r="E18" s="19">
        <v>545373</v>
      </c>
      <c r="F18" s="20" t="s">
        <v>25</v>
      </c>
      <c r="G18" s="20" t="s">
        <v>25</v>
      </c>
      <c r="H18" s="20" t="s">
        <v>25</v>
      </c>
      <c r="I18" s="20" t="s">
        <v>25</v>
      </c>
      <c r="J18" s="20" t="s">
        <v>25</v>
      </c>
    </row>
    <row r="19" spans="1:10" x14ac:dyDescent="0.25">
      <c r="A19" s="3" t="s">
        <v>127</v>
      </c>
      <c r="B19" s="4"/>
      <c r="C19" s="4"/>
      <c r="D19" s="4"/>
      <c r="E19" s="4"/>
      <c r="F19" s="4"/>
      <c r="G19" s="4"/>
      <c r="H19" s="4"/>
      <c r="I19" s="4"/>
      <c r="J19" s="4"/>
    </row>
    <row r="20" spans="1:10" x14ac:dyDescent="0.25">
      <c r="A20" t="s">
        <v>128</v>
      </c>
      <c r="B20" s="24">
        <v>32895</v>
      </c>
      <c r="C20" s="24">
        <v>35132</v>
      </c>
      <c r="D20" s="24">
        <v>38154</v>
      </c>
      <c r="E20" s="24">
        <v>45015</v>
      </c>
      <c r="F20" s="23" t="s">
        <v>25</v>
      </c>
      <c r="G20" s="23" t="s">
        <v>25</v>
      </c>
      <c r="H20" s="23" t="s">
        <v>25</v>
      </c>
      <c r="I20" s="23" t="s">
        <v>25</v>
      </c>
      <c r="J20" s="23" t="s">
        <v>25</v>
      </c>
    </row>
    <row r="21" spans="1:10" x14ac:dyDescent="0.25">
      <c r="A21" t="s">
        <v>129</v>
      </c>
      <c r="B21" s="21" t="s">
        <v>25</v>
      </c>
      <c r="C21" s="21" t="s">
        <v>25</v>
      </c>
      <c r="D21" s="21" t="s">
        <v>25</v>
      </c>
      <c r="E21" s="21" t="s">
        <v>25</v>
      </c>
      <c r="F21" s="23" t="s">
        <v>25</v>
      </c>
      <c r="G21" s="23" t="s">
        <v>25</v>
      </c>
      <c r="H21" s="23" t="s">
        <v>25</v>
      </c>
      <c r="I21" s="23" t="s">
        <v>25</v>
      </c>
      <c r="J21" s="23" t="s">
        <v>25</v>
      </c>
    </row>
    <row r="22" spans="1:10" x14ac:dyDescent="0.25">
      <c r="A22" t="s">
        <v>130</v>
      </c>
      <c r="B22" s="21" t="s">
        <v>25</v>
      </c>
      <c r="C22" s="21" t="s">
        <v>25</v>
      </c>
      <c r="D22" s="21" t="s">
        <v>25</v>
      </c>
      <c r="E22" s="21" t="s">
        <v>25</v>
      </c>
      <c r="F22" s="23" t="s">
        <v>25</v>
      </c>
      <c r="G22" s="23" t="s">
        <v>25</v>
      </c>
      <c r="H22" s="23" t="s">
        <v>25</v>
      </c>
      <c r="I22" s="23" t="s">
        <v>25</v>
      </c>
      <c r="J22" s="23" t="s">
        <v>25</v>
      </c>
    </row>
    <row r="23" spans="1:10" x14ac:dyDescent="0.25">
      <c r="A23" s="5" t="s">
        <v>131</v>
      </c>
      <c r="B23" s="25" t="s">
        <v>25</v>
      </c>
      <c r="C23" s="25" t="s">
        <v>25</v>
      </c>
      <c r="D23" s="25" t="s">
        <v>25</v>
      </c>
      <c r="E23" s="25" t="s">
        <v>25</v>
      </c>
      <c r="F23" s="20" t="s">
        <v>25</v>
      </c>
      <c r="G23" s="20" t="s">
        <v>25</v>
      </c>
      <c r="H23" s="20" t="s">
        <v>25</v>
      </c>
      <c r="I23" s="20" t="s">
        <v>25</v>
      </c>
      <c r="J23" s="20" t="s">
        <v>25</v>
      </c>
    </row>
    <row r="24" spans="1:10" x14ac:dyDescent="0.25">
      <c r="A24" s="3" t="s">
        <v>132</v>
      </c>
      <c r="B24" s="4"/>
      <c r="C24" s="4"/>
      <c r="D24" s="4"/>
      <c r="E24" s="4"/>
      <c r="F24" s="4"/>
      <c r="G24" s="4"/>
      <c r="H24" s="4"/>
      <c r="I24" s="4"/>
      <c r="J24" s="4"/>
    </row>
    <row r="25" spans="1:10" x14ac:dyDescent="0.25">
      <c r="A25" t="s">
        <v>133</v>
      </c>
      <c r="B25" s="21" t="s">
        <v>25</v>
      </c>
      <c r="C25" s="21" t="s">
        <v>25</v>
      </c>
      <c r="D25" s="21" t="s">
        <v>25</v>
      </c>
      <c r="E25" s="21" t="s">
        <v>25</v>
      </c>
      <c r="F25" s="23" t="s">
        <v>25</v>
      </c>
      <c r="G25" s="23" t="s">
        <v>25</v>
      </c>
      <c r="H25" s="23" t="s">
        <v>25</v>
      </c>
      <c r="I25" s="23" t="s">
        <v>25</v>
      </c>
      <c r="J25" s="23" t="s">
        <v>25</v>
      </c>
    </row>
    <row r="26" spans="1:10" x14ac:dyDescent="0.25">
      <c r="A26" t="s">
        <v>134</v>
      </c>
      <c r="B26" s="21" t="s">
        <v>25</v>
      </c>
      <c r="C26" s="21" t="s">
        <v>25</v>
      </c>
      <c r="D26" s="21" t="s">
        <v>25</v>
      </c>
      <c r="E26" s="21" t="s">
        <v>25</v>
      </c>
      <c r="F26" s="23" t="s">
        <v>25</v>
      </c>
      <c r="G26" s="23" t="s">
        <v>25</v>
      </c>
      <c r="H26" s="23" t="s">
        <v>25</v>
      </c>
      <c r="I26" s="23" t="s">
        <v>25</v>
      </c>
      <c r="J26" s="23" t="s">
        <v>25</v>
      </c>
    </row>
    <row r="27" spans="1:10" x14ac:dyDescent="0.25">
      <c r="A27" t="s">
        <v>135</v>
      </c>
      <c r="B27" s="21" t="s">
        <v>25</v>
      </c>
      <c r="C27" s="21" t="s">
        <v>25</v>
      </c>
      <c r="D27" s="21" t="s">
        <v>25</v>
      </c>
      <c r="E27" s="21" t="s">
        <v>25</v>
      </c>
      <c r="F27" s="23" t="s">
        <v>25</v>
      </c>
      <c r="G27" s="23" t="s">
        <v>25</v>
      </c>
      <c r="H27" s="23" t="s">
        <v>25</v>
      </c>
      <c r="I27" s="23" t="s">
        <v>25</v>
      </c>
      <c r="J27" s="23" t="s">
        <v>25</v>
      </c>
    </row>
    <row r="28" spans="1:10" x14ac:dyDescent="0.25">
      <c r="A28" t="s">
        <v>136</v>
      </c>
      <c r="B28" s="21" t="s">
        <v>25</v>
      </c>
      <c r="C28" s="21" t="s">
        <v>25</v>
      </c>
      <c r="D28" s="21" t="s">
        <v>25</v>
      </c>
      <c r="E28" s="21" t="s">
        <v>25</v>
      </c>
      <c r="F28" s="23" t="s">
        <v>25</v>
      </c>
      <c r="G28" s="23" t="s">
        <v>25</v>
      </c>
      <c r="H28" s="23" t="s">
        <v>25</v>
      </c>
      <c r="I28" s="23" t="s">
        <v>25</v>
      </c>
      <c r="J28" s="23" t="s">
        <v>25</v>
      </c>
    </row>
    <row r="29" spans="1:10" x14ac:dyDescent="0.25">
      <c r="A29" s="5" t="s">
        <v>137</v>
      </c>
      <c r="B29" s="25" t="s">
        <v>25</v>
      </c>
      <c r="C29" s="25" t="s">
        <v>25</v>
      </c>
      <c r="D29" s="25" t="s">
        <v>25</v>
      </c>
      <c r="E29" s="25" t="s">
        <v>25</v>
      </c>
      <c r="F29" s="20" t="s">
        <v>25</v>
      </c>
      <c r="G29" s="20" t="s">
        <v>25</v>
      </c>
      <c r="H29" s="20" t="s">
        <v>25</v>
      </c>
      <c r="I29" s="20" t="s">
        <v>25</v>
      </c>
      <c r="J29" s="20" t="s">
        <v>25</v>
      </c>
    </row>
    <row r="30" spans="1:10" x14ac:dyDescent="0.25">
      <c r="A30" s="5" t="s">
        <v>138</v>
      </c>
      <c r="B30" s="25" t="s">
        <v>25</v>
      </c>
      <c r="C30" s="25" t="s">
        <v>25</v>
      </c>
      <c r="D30" s="25" t="s">
        <v>25</v>
      </c>
      <c r="E30" s="25" t="s">
        <v>25</v>
      </c>
      <c r="F30" s="20" t="s">
        <v>25</v>
      </c>
      <c r="G30" s="20" t="s">
        <v>25</v>
      </c>
      <c r="H30" s="20" t="s">
        <v>25</v>
      </c>
      <c r="I30" s="20" t="s">
        <v>25</v>
      </c>
      <c r="J30" s="20" t="s">
        <v>25</v>
      </c>
    </row>
    <row r="31" spans="1:10" x14ac:dyDescent="0.25">
      <c r="A31" s="3" t="s">
        <v>139</v>
      </c>
      <c r="B31" s="4"/>
      <c r="C31" s="4"/>
      <c r="D31" s="4"/>
      <c r="E31" s="4"/>
      <c r="F31" s="4"/>
      <c r="G31" s="4"/>
      <c r="H31" s="4"/>
      <c r="I31" s="4"/>
      <c r="J31" s="4"/>
    </row>
    <row r="32" spans="1:10" x14ac:dyDescent="0.25">
      <c r="A32" t="s">
        <v>140</v>
      </c>
      <c r="B32" s="24">
        <v>2837</v>
      </c>
      <c r="C32" s="24">
        <v>2877</v>
      </c>
      <c r="D32" s="24">
        <v>2900</v>
      </c>
      <c r="E32" s="24">
        <v>3047</v>
      </c>
      <c r="F32" s="23" t="s">
        <v>25</v>
      </c>
      <c r="G32" s="23" t="s">
        <v>25</v>
      </c>
      <c r="H32" s="23" t="s">
        <v>25</v>
      </c>
      <c r="I32" s="23" t="s">
        <v>25</v>
      </c>
      <c r="J32" s="23" t="s">
        <v>25</v>
      </c>
    </row>
    <row r="33" spans="1:10" x14ac:dyDescent="0.25">
      <c r="A33" t="s">
        <v>141</v>
      </c>
      <c r="B33" s="24">
        <v>74726</v>
      </c>
      <c r="C33" s="24">
        <v>79142</v>
      </c>
      <c r="D33" s="24">
        <v>110772</v>
      </c>
      <c r="E33" s="24">
        <v>146010</v>
      </c>
      <c r="F33" s="23" t="s">
        <v>25</v>
      </c>
      <c r="G33" s="23" t="s">
        <v>25</v>
      </c>
      <c r="H33" s="23" t="s">
        <v>25</v>
      </c>
      <c r="I33" s="23" t="s">
        <v>25</v>
      </c>
      <c r="J33" s="23" t="s">
        <v>25</v>
      </c>
    </row>
    <row r="34" spans="1:10" x14ac:dyDescent="0.25">
      <c r="A34" t="s">
        <v>142</v>
      </c>
      <c r="B34" s="21" t="s">
        <v>25</v>
      </c>
      <c r="C34" s="21" t="s">
        <v>25</v>
      </c>
      <c r="D34" s="21" t="s">
        <v>25</v>
      </c>
      <c r="E34" s="21" t="s">
        <v>25</v>
      </c>
      <c r="F34" s="23" t="s">
        <v>25</v>
      </c>
      <c r="G34" s="23" t="s">
        <v>25</v>
      </c>
      <c r="H34" s="23" t="s">
        <v>25</v>
      </c>
      <c r="I34" s="23" t="s">
        <v>25</v>
      </c>
      <c r="J34" s="23" t="s">
        <v>25</v>
      </c>
    </row>
    <row r="35" spans="1:10" x14ac:dyDescent="0.25">
      <c r="A35" t="s">
        <v>143</v>
      </c>
      <c r="B35" s="21" t="s">
        <v>25</v>
      </c>
      <c r="C35" s="21" t="s">
        <v>25</v>
      </c>
      <c r="D35" s="21" t="s">
        <v>25</v>
      </c>
      <c r="E35" s="21" t="s">
        <v>25</v>
      </c>
      <c r="F35" s="23" t="s">
        <v>25</v>
      </c>
      <c r="G35" s="23" t="s">
        <v>25</v>
      </c>
      <c r="H35" s="23" t="s">
        <v>25</v>
      </c>
      <c r="I35" s="23" t="s">
        <v>25</v>
      </c>
      <c r="J35" s="23" t="s">
        <v>25</v>
      </c>
    </row>
    <row r="36" spans="1:10" x14ac:dyDescent="0.25">
      <c r="A36" s="5" t="s">
        <v>144</v>
      </c>
      <c r="B36" s="25" t="s">
        <v>25</v>
      </c>
      <c r="C36" s="25" t="s">
        <v>25</v>
      </c>
      <c r="D36" s="25" t="s">
        <v>25</v>
      </c>
      <c r="E36" s="25" t="s">
        <v>25</v>
      </c>
      <c r="F36" s="20" t="s">
        <v>25</v>
      </c>
      <c r="G36" s="20" t="s">
        <v>25</v>
      </c>
      <c r="H36" s="20" t="s">
        <v>25</v>
      </c>
      <c r="I36" s="20" t="s">
        <v>25</v>
      </c>
      <c r="J36" s="20" t="s">
        <v>25</v>
      </c>
    </row>
    <row r="37" spans="1:10" x14ac:dyDescent="0.25">
      <c r="A37" s="5" t="s">
        <v>145</v>
      </c>
      <c r="B37" s="25" t="s">
        <v>25</v>
      </c>
      <c r="C37" s="25" t="s">
        <v>25</v>
      </c>
      <c r="D37" s="25" t="s">
        <v>25</v>
      </c>
      <c r="E37" s="25" t="s">
        <v>25</v>
      </c>
      <c r="F37" s="20" t="s">
        <v>25</v>
      </c>
      <c r="G37" s="20" t="s">
        <v>25</v>
      </c>
      <c r="H37" s="20" t="s">
        <v>25</v>
      </c>
      <c r="I37" s="20" t="s">
        <v>25</v>
      </c>
      <c r="J37" s="20" t="s">
        <v>25</v>
      </c>
    </row>
    <row r="38" spans="1:10" x14ac:dyDescent="0.25">
      <c r="A38" t="s">
        <v>146</v>
      </c>
      <c r="B38" s="21" t="s">
        <v>25</v>
      </c>
      <c r="C38" s="21" t="s">
        <v>25</v>
      </c>
      <c r="D38" s="21" t="s">
        <v>25</v>
      </c>
      <c r="E38" s="21" t="s">
        <v>25</v>
      </c>
      <c r="F38" s="23" t="s">
        <v>25</v>
      </c>
      <c r="G38" s="23" t="s">
        <v>25</v>
      </c>
      <c r="H38" s="23" t="s">
        <v>25</v>
      </c>
      <c r="I38" s="23" t="s">
        <v>25</v>
      </c>
      <c r="J38" s="23" t="s">
        <v>25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10" width="13" customWidth="1"/>
  </cols>
  <sheetData>
    <row r="1" spans="1:1" x14ac:dyDescent="0.25">
      <c r="A1" s="1" t="s">
        <v>147</v>
      </c>
    </row>
    <row r="2" spans="1:1" x14ac:dyDescent="0.25">
      <c r="A2" s="2" t="s">
        <v>91</v>
      </c>
    </row>
    <row r="3" spans="1:1" x14ac:dyDescent="0.25">
      <c r="A3" s="2" t="s">
        <v>92</v>
      </c>
    </row>
    <row r="4" spans="1:10" x14ac:dyDescent="0.25">
      <c r="A4" s="9"/>
      <c r="B4" s="10" t="s">
        <v>14</v>
      </c>
      <c r="C4" s="10" t="s">
        <v>15</v>
      </c>
      <c r="D4" s="10" t="s">
        <v>16</v>
      </c>
      <c r="E4" s="10" t="s">
        <v>17</v>
      </c>
      <c r="F4" s="10" t="s">
        <v>18</v>
      </c>
      <c r="G4" s="10" t="s">
        <v>19</v>
      </c>
      <c r="H4" s="10" t="s">
        <v>20</v>
      </c>
      <c r="I4" s="10" t="s">
        <v>21</v>
      </c>
      <c r="J4" s="10" t="s">
        <v>22</v>
      </c>
    </row>
    <row r="5" spans="1:10" x14ac:dyDescent="0.25">
      <c r="A5" s="3" t="s">
        <v>148</v>
      </c>
      <c r="B5" s="4"/>
      <c r="C5" s="4"/>
      <c r="D5" s="4"/>
      <c r="E5" s="4"/>
      <c r="F5" s="4"/>
      <c r="G5" s="4"/>
      <c r="H5" s="4"/>
      <c r="I5" s="4"/>
      <c r="J5" s="4"/>
    </row>
    <row r="6" spans="1:10" x14ac:dyDescent="0.25">
      <c r="A6" t="s">
        <v>149</v>
      </c>
      <c r="B6" s="24">
        <v>12287</v>
      </c>
      <c r="C6" s="24">
        <v>8558</v>
      </c>
      <c r="D6" s="24">
        <v>37481</v>
      </c>
      <c r="E6" s="24">
        <v>33823</v>
      </c>
      <c r="F6" s="23" t="s">
        <v>25</v>
      </c>
      <c r="G6" s="23" t="s">
        <v>25</v>
      </c>
      <c r="H6" s="23" t="s">
        <v>25</v>
      </c>
      <c r="I6" s="23" t="s">
        <v>25</v>
      </c>
      <c r="J6" s="23" t="s">
        <v>25</v>
      </c>
    </row>
    <row r="7" spans="1:10" x14ac:dyDescent="0.25">
      <c r="A7" t="s">
        <v>99</v>
      </c>
      <c r="B7" s="24">
        <v>36432</v>
      </c>
      <c r="C7" s="24">
        <v>39538</v>
      </c>
      <c r="D7" s="24">
        <v>45570</v>
      </c>
      <c r="E7" s="24">
        <v>52711</v>
      </c>
      <c r="F7" s="23" t="s">
        <v>25</v>
      </c>
      <c r="G7" s="23" t="s">
        <v>25</v>
      </c>
      <c r="H7" s="23" t="s">
        <v>25</v>
      </c>
      <c r="I7" s="23" t="s">
        <v>25</v>
      </c>
      <c r="J7" s="23" t="s">
        <v>25</v>
      </c>
    </row>
    <row r="8" spans="1:10" x14ac:dyDescent="0.25">
      <c r="A8" t="s">
        <v>150</v>
      </c>
      <c r="B8" s="21" t="s">
        <v>25</v>
      </c>
      <c r="C8" s="21" t="s">
        <v>25</v>
      </c>
      <c r="D8" s="21" t="s">
        <v>25</v>
      </c>
      <c r="E8" s="21" t="s">
        <v>25</v>
      </c>
      <c r="F8" s="23" t="s">
        <v>25</v>
      </c>
      <c r="G8" s="23" t="s">
        <v>25</v>
      </c>
      <c r="H8" s="23" t="s">
        <v>25</v>
      </c>
      <c r="I8" s="23" t="s">
        <v>25</v>
      </c>
      <c r="J8" s="23" t="s">
        <v>25</v>
      </c>
    </row>
    <row r="9" spans="1:10" x14ac:dyDescent="0.25">
      <c r="A9" t="s">
        <v>151</v>
      </c>
      <c r="B9" s="21" t="s">
        <v>25</v>
      </c>
      <c r="C9" s="21" t="s">
        <v>25</v>
      </c>
      <c r="D9" s="21" t="s">
        <v>25</v>
      </c>
      <c r="E9" s="21" t="s">
        <v>25</v>
      </c>
      <c r="F9" s="23" t="s">
        <v>25</v>
      </c>
      <c r="G9" s="23" t="s">
        <v>25</v>
      </c>
      <c r="H9" s="23" t="s">
        <v>25</v>
      </c>
      <c r="I9" s="23" t="s">
        <v>25</v>
      </c>
      <c r="J9" s="23" t="s">
        <v>25</v>
      </c>
    </row>
    <row r="10" spans="1:10" x14ac:dyDescent="0.25">
      <c r="A10" t="s">
        <v>152</v>
      </c>
      <c r="B10" s="21" t="s">
        <v>25</v>
      </c>
      <c r="C10" s="21" t="s">
        <v>25</v>
      </c>
      <c r="D10" s="21" t="s">
        <v>25</v>
      </c>
      <c r="E10" s="21" t="s">
        <v>25</v>
      </c>
      <c r="F10" s="23" t="s">
        <v>25</v>
      </c>
      <c r="G10" s="23" t="s">
        <v>25</v>
      </c>
      <c r="H10" s="23" t="s">
        <v>25</v>
      </c>
      <c r="I10" s="23" t="s">
        <v>25</v>
      </c>
      <c r="J10" s="23" t="s">
        <v>25</v>
      </c>
    </row>
    <row r="11" spans="1:10" x14ac:dyDescent="0.25">
      <c r="A11" t="s">
        <v>153</v>
      </c>
      <c r="B11" s="21" t="s">
        <v>25</v>
      </c>
      <c r="C11" s="21" t="s">
        <v>25</v>
      </c>
      <c r="D11" s="21" t="s">
        <v>25</v>
      </c>
      <c r="E11" s="21" t="s">
        <v>25</v>
      </c>
      <c r="F11" s="23" t="s">
        <v>25</v>
      </c>
      <c r="G11" s="23" t="s">
        <v>25</v>
      </c>
      <c r="H11" s="23" t="s">
        <v>25</v>
      </c>
      <c r="I11" s="23" t="s">
        <v>25</v>
      </c>
      <c r="J11" s="23" t="s">
        <v>25</v>
      </c>
    </row>
    <row r="12" spans="1:10" x14ac:dyDescent="0.25">
      <c r="A12" t="s">
        <v>154</v>
      </c>
      <c r="B12" s="21" t="s">
        <v>25</v>
      </c>
      <c r="C12" s="21" t="s">
        <v>25</v>
      </c>
      <c r="D12" s="21" t="s">
        <v>25</v>
      </c>
      <c r="E12" s="21" t="s">
        <v>25</v>
      </c>
      <c r="F12" s="23" t="s">
        <v>25</v>
      </c>
      <c r="G12" s="23" t="s">
        <v>25</v>
      </c>
      <c r="H12" s="23" t="s">
        <v>25</v>
      </c>
      <c r="I12" s="23" t="s">
        <v>25</v>
      </c>
      <c r="J12" s="23" t="s">
        <v>25</v>
      </c>
    </row>
    <row r="13" spans="1:10" x14ac:dyDescent="0.25">
      <c r="A13" s="5" t="s">
        <v>155</v>
      </c>
      <c r="B13" s="19">
        <v>65325</v>
      </c>
      <c r="C13" s="19">
        <v>78898</v>
      </c>
      <c r="D13" s="19">
        <v>98332</v>
      </c>
      <c r="E13" s="19">
        <v>122230</v>
      </c>
      <c r="F13" s="20" t="s">
        <v>25</v>
      </c>
      <c r="G13" s="20" t="s">
        <v>25</v>
      </c>
      <c r="H13" s="20" t="s">
        <v>25</v>
      </c>
      <c r="I13" s="20" t="s">
        <v>25</v>
      </c>
      <c r="J13" s="20" t="s">
        <v>25</v>
      </c>
    </row>
    <row r="14" spans="1:10" x14ac:dyDescent="0.25">
      <c r="A14" s="3" t="s">
        <v>156</v>
      </c>
      <c r="B14" s="4"/>
      <c r="C14" s="4"/>
      <c r="D14" s="4"/>
      <c r="E14" s="4"/>
      <c r="F14" s="4"/>
      <c r="G14" s="4"/>
      <c r="H14" s="4"/>
      <c r="I14" s="4"/>
      <c r="J14" s="4"/>
    </row>
    <row r="15" spans="1:10" x14ac:dyDescent="0.25">
      <c r="A15" t="s">
        <v>157</v>
      </c>
      <c r="B15" s="24">
        <v>-26538</v>
      </c>
      <c r="C15" s="24">
        <v>-40052</v>
      </c>
      <c r="D15" s="24">
        <v>-39680</v>
      </c>
      <c r="E15" s="24">
        <v>-46714</v>
      </c>
      <c r="F15" s="23" t="s">
        <v>25</v>
      </c>
      <c r="G15" s="23" t="s">
        <v>25</v>
      </c>
      <c r="H15" s="23" t="s">
        <v>25</v>
      </c>
      <c r="I15" s="23" t="s">
        <v>25</v>
      </c>
      <c r="J15" s="23" t="s">
        <v>25</v>
      </c>
    </row>
    <row r="16" spans="1:10" x14ac:dyDescent="0.25">
      <c r="A16" t="s">
        <v>158</v>
      </c>
      <c r="B16" s="21" t="s">
        <v>25</v>
      </c>
      <c r="C16" s="21" t="s">
        <v>25</v>
      </c>
      <c r="D16" s="21" t="s">
        <v>25</v>
      </c>
      <c r="E16" s="21" t="s">
        <v>25</v>
      </c>
      <c r="F16" s="23" t="s">
        <v>25</v>
      </c>
      <c r="G16" s="23" t="s">
        <v>25</v>
      </c>
      <c r="H16" s="23" t="s">
        <v>25</v>
      </c>
      <c r="I16" s="23" t="s">
        <v>25</v>
      </c>
      <c r="J16" s="23" t="s">
        <v>25</v>
      </c>
    </row>
    <row r="17" spans="1:10" x14ac:dyDescent="0.25">
      <c r="A17" t="s">
        <v>159</v>
      </c>
      <c r="B17" s="21" t="s">
        <v>25</v>
      </c>
      <c r="C17" s="21" t="s">
        <v>25</v>
      </c>
      <c r="D17" s="21" t="s">
        <v>25</v>
      </c>
      <c r="E17" s="21" t="s">
        <v>25</v>
      </c>
      <c r="F17" s="23" t="s">
        <v>25</v>
      </c>
      <c r="G17" s="23" t="s">
        <v>25</v>
      </c>
      <c r="H17" s="23" t="s">
        <v>25</v>
      </c>
      <c r="I17" s="23" t="s">
        <v>25</v>
      </c>
      <c r="J17" s="23" t="s">
        <v>25</v>
      </c>
    </row>
    <row r="18" spans="1:10" x14ac:dyDescent="0.25">
      <c r="A18" s="5" t="s">
        <v>160</v>
      </c>
      <c r="B18" s="19">
        <v>-39232</v>
      </c>
      <c r="C18" s="19">
        <v>-51089</v>
      </c>
      <c r="D18" s="19">
        <v>-60198</v>
      </c>
      <c r="E18" s="19">
        <v>-56205</v>
      </c>
      <c r="F18" s="20" t="s">
        <v>25</v>
      </c>
      <c r="G18" s="20" t="s">
        <v>25</v>
      </c>
      <c r="H18" s="20" t="s">
        <v>25</v>
      </c>
      <c r="I18" s="20" t="s">
        <v>25</v>
      </c>
      <c r="J18" s="20" t="s">
        <v>25</v>
      </c>
    </row>
    <row r="19" spans="1:10" x14ac:dyDescent="0.25">
      <c r="A19" s="3" t="s">
        <v>161</v>
      </c>
      <c r="B19" s="4"/>
      <c r="C19" s="4"/>
      <c r="D19" s="4"/>
      <c r="E19" s="4"/>
      <c r="F19" s="4"/>
      <c r="G19" s="4"/>
      <c r="H19" s="4"/>
      <c r="I19" s="4"/>
      <c r="J19" s="4"/>
    </row>
    <row r="20" spans="1:10" x14ac:dyDescent="0.25">
      <c r="A20" t="s">
        <v>162</v>
      </c>
      <c r="B20" s="21" t="s">
        <v>25</v>
      </c>
      <c r="C20" s="21" t="s">
        <v>25</v>
      </c>
      <c r="D20" s="21" t="s">
        <v>25</v>
      </c>
      <c r="E20" s="21" t="s">
        <v>25</v>
      </c>
      <c r="F20" s="23" t="s">
        <v>25</v>
      </c>
      <c r="G20" s="23" t="s">
        <v>25</v>
      </c>
      <c r="H20" s="23" t="s">
        <v>25</v>
      </c>
      <c r="I20" s="23" t="s">
        <v>25</v>
      </c>
      <c r="J20" s="23" t="s">
        <v>25</v>
      </c>
    </row>
    <row r="21" spans="1:10" x14ac:dyDescent="0.25">
      <c r="A21" t="s">
        <v>163</v>
      </c>
      <c r="B21" s="21" t="s">
        <v>25</v>
      </c>
      <c r="C21" s="21" t="s">
        <v>25</v>
      </c>
      <c r="D21" s="21" t="s">
        <v>25</v>
      </c>
      <c r="E21" s="21" t="s">
        <v>25</v>
      </c>
      <c r="F21" s="23" t="s">
        <v>25</v>
      </c>
      <c r="G21" s="23" t="s">
        <v>25</v>
      </c>
      <c r="H21" s="23" t="s">
        <v>25</v>
      </c>
      <c r="I21" s="23" t="s">
        <v>25</v>
      </c>
      <c r="J21" s="23" t="s">
        <v>25</v>
      </c>
    </row>
    <row r="22" spans="1:10" x14ac:dyDescent="0.25">
      <c r="A22" t="s">
        <v>164</v>
      </c>
      <c r="B22" s="21" t="s">
        <v>25</v>
      </c>
      <c r="C22" s="21" t="s">
        <v>25</v>
      </c>
      <c r="D22" s="21" t="s">
        <v>25</v>
      </c>
      <c r="E22" s="21" t="s">
        <v>25</v>
      </c>
      <c r="F22" s="23" t="s">
        <v>25</v>
      </c>
      <c r="G22" s="23" t="s">
        <v>25</v>
      </c>
      <c r="H22" s="23" t="s">
        <v>25</v>
      </c>
      <c r="I22" s="23" t="s">
        <v>25</v>
      </c>
      <c r="J22" s="23" t="s">
        <v>25</v>
      </c>
    </row>
    <row r="23" spans="1:10" x14ac:dyDescent="0.25">
      <c r="A23" t="s">
        <v>165</v>
      </c>
      <c r="B23" s="21" t="s">
        <v>25</v>
      </c>
      <c r="C23" s="21" t="s">
        <v>25</v>
      </c>
      <c r="D23" s="21" t="s">
        <v>25</v>
      </c>
      <c r="E23" s="21" t="s">
        <v>25</v>
      </c>
      <c r="F23" s="23" t="s">
        <v>25</v>
      </c>
      <c r="G23" s="23" t="s">
        <v>25</v>
      </c>
      <c r="H23" s="23" t="s">
        <v>25</v>
      </c>
      <c r="I23" s="23" t="s">
        <v>25</v>
      </c>
      <c r="J23" s="23" t="s">
        <v>25</v>
      </c>
    </row>
    <row r="24" spans="1:10" x14ac:dyDescent="0.25">
      <c r="A24" s="5" t="s">
        <v>166</v>
      </c>
      <c r="B24" s="19">
        <v>-24470</v>
      </c>
      <c r="C24" s="19">
        <v>-27778</v>
      </c>
      <c r="D24" s="19">
        <v>-36533</v>
      </c>
      <c r="E24" s="19">
        <v>-52293</v>
      </c>
      <c r="F24" s="20" t="s">
        <v>25</v>
      </c>
      <c r="G24" s="20" t="s">
        <v>25</v>
      </c>
      <c r="H24" s="20" t="s">
        <v>25</v>
      </c>
      <c r="I24" s="20" t="s">
        <v>25</v>
      </c>
      <c r="J24" s="20" t="s">
        <v>25</v>
      </c>
    </row>
    <row r="25" spans="1:10" x14ac:dyDescent="0.25">
      <c r="A25" s="5" t="s">
        <v>167</v>
      </c>
      <c r="B25" s="19">
        <f>SUM(B13,B18,B24)</f>
        <v>1623</v>
      </c>
      <c r="C25" s="19">
        <f>SUM(C13,C18,C24)</f>
        <v>31</v>
      </c>
      <c r="D25" s="19">
        <f>SUM(D13,D18,D24)</f>
        <v>1601</v>
      </c>
      <c r="E25" s="19">
        <f>SUM(E13,E18,E24)</f>
        <v>13732</v>
      </c>
      <c r="F25" s="20" t="s">
        <v>25</v>
      </c>
      <c r="G25" s="20" t="s">
        <v>25</v>
      </c>
      <c r="H25" s="20" t="s">
        <v>25</v>
      </c>
      <c r="I25" s="20" t="s">
        <v>25</v>
      </c>
      <c r="J25" s="20" t="s">
        <v>25</v>
      </c>
    </row>
    <row r="26" spans="1:10" x14ac:dyDescent="0.25">
      <c r="A26" t="s">
        <v>168</v>
      </c>
      <c r="B26" s="24">
        <v>11796</v>
      </c>
      <c r="C26" s="24">
        <v>13419</v>
      </c>
      <c r="D26" s="24">
        <v>16340</v>
      </c>
      <c r="E26" s="24">
        <v>16720</v>
      </c>
      <c r="F26" s="23" t="s">
        <v>25</v>
      </c>
      <c r="G26" s="23" t="s">
        <v>25</v>
      </c>
      <c r="H26" s="23" t="s">
        <v>25</v>
      </c>
      <c r="I26" s="23" t="s">
        <v>25</v>
      </c>
      <c r="J26" s="23" t="s">
        <v>25</v>
      </c>
    </row>
    <row r="27" spans="1:10" x14ac:dyDescent="0.25">
      <c r="A27" s="5" t="s">
        <v>169</v>
      </c>
      <c r="B27" s="19">
        <f>SUM(B26,B25)</f>
        <v>13419</v>
      </c>
      <c r="C27" s="19">
        <v>16340</v>
      </c>
      <c r="D27" s="19">
        <v>16720</v>
      </c>
      <c r="E27" s="19">
        <v>30377</v>
      </c>
      <c r="F27" s="20" t="s">
        <v>25</v>
      </c>
      <c r="G27" s="20" t="s">
        <v>25</v>
      </c>
      <c r="H27" s="20" t="s">
        <v>25</v>
      </c>
      <c r="I27" s="20" t="s">
        <v>25</v>
      </c>
      <c r="J27" s="20" t="s">
        <v>25</v>
      </c>
    </row>
    <row r="29" spans="1:10" x14ac:dyDescent="0.25">
      <c r="A29" s="3" t="s">
        <v>170</v>
      </c>
      <c r="B29" s="4"/>
      <c r="C29" s="4"/>
      <c r="D29" s="4"/>
      <c r="E29" s="4"/>
      <c r="F29" s="4"/>
      <c r="G29" s="4"/>
      <c r="H29" s="4"/>
      <c r="I29" s="4"/>
      <c r="J29" s="4"/>
    </row>
    <row r="30" spans="1:10" x14ac:dyDescent="0.25">
      <c r="A30" s="5" t="s">
        <v>171</v>
      </c>
      <c r="B30" s="11">
        <f>B13-ABS(B15)</f>
        <v>38787</v>
      </c>
      <c r="C30" s="11">
        <f>C13-ABS(C15)</f>
        <v>38846</v>
      </c>
      <c r="D30" s="11">
        <f>D13-ABS(D15)</f>
        <v>58652</v>
      </c>
      <c r="E30" s="11">
        <f>E13-ABS(E15)</f>
        <v>75516</v>
      </c>
      <c r="F30" s="12" t="s">
        <v>25</v>
      </c>
      <c r="G30" s="12" t="s">
        <v>25</v>
      </c>
      <c r="H30" s="12" t="s">
        <v>25</v>
      </c>
      <c r="I30" s="12" t="s">
        <v>25</v>
      </c>
      <c r="J30" s="12" t="s">
        <v>25</v>
      </c>
    </row>
    <row r="31" spans="1:10" x14ac:dyDescent="0.25">
      <c r="A31" t="s">
        <v>172</v>
      </c>
      <c r="B31" s="13">
        <f>B30/'Income Statement'!B5</f>
        <v>0.2787523806101549</v>
      </c>
      <c r="C31" s="13">
        <f>C30/'Income Statement'!C5</f>
        <v>0.2590044138629969</v>
      </c>
      <c r="D31" s="13">
        <f>D30/'Income Statement'!D5</f>
        <v>0.3390582998525884</v>
      </c>
      <c r="E31" s="13">
        <f>E30/'Income Statement'!E5</f>
        <v>0.35794153754271874</v>
      </c>
      <c r="F31" s="14" t="s">
        <v>25</v>
      </c>
      <c r="G31" s="14" t="s">
        <v>25</v>
      </c>
      <c r="H31" s="14" t="s">
        <v>25</v>
      </c>
      <c r="I31" s="14" t="s">
        <v>25</v>
      </c>
      <c r="J31" s="14" t="s">
        <v>25</v>
      </c>
    </row>
    <row r="32" spans="1:10" x14ac:dyDescent="0.25">
      <c r="A32" t="s">
        <v>173</v>
      </c>
      <c r="B32" s="13">
        <f>B30/'Income Statement'!B20</f>
        <v>3.156751037682103</v>
      </c>
      <c r="C32" s="13">
        <f>C30/'Income Statement'!C20</f>
        <v>4.539144659967282</v>
      </c>
      <c r="D32" s="13">
        <f>D30/'Income Statement'!D20</f>
        <v>1.564846188735626</v>
      </c>
      <c r="E32" s="13">
        <f>E30/'Income Statement'!E20</f>
        <v>2.232681902847175</v>
      </c>
      <c r="F32" s="14" t="s">
        <v>25</v>
      </c>
      <c r="G32" s="14" t="s">
        <v>25</v>
      </c>
      <c r="H32" s="14" t="s">
        <v>25</v>
      </c>
      <c r="I32" s="14" t="s">
        <v>25</v>
      </c>
      <c r="J32" s="14" t="s">
        <v>25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FormatPr defaultRowHeight="15" outlineLevelRow="0" outlineLevelCol="0" x14ac:dyDescent="55"/>
  <cols>
    <col min="1" max="1" width="42" customWidth="1"/>
  </cols>
  <sheetData>
    <row r="1" spans="1:1" x14ac:dyDescent="0.25">
      <c r="A1" s="1" t="s">
        <v>174</v>
      </c>
    </row>
    <row r="2" spans="1:1" x14ac:dyDescent="0.25">
      <c r="A2" s="2" t="s">
        <v>175</v>
      </c>
    </row>
    <row r="4" spans="1:6" x14ac:dyDescent="0.25">
      <c r="A4" s="9" t="s">
        <v>176</v>
      </c>
      <c r="B4" s="10" t="s">
        <v>18</v>
      </c>
      <c r="C4" s="10" t="s">
        <v>19</v>
      </c>
      <c r="D4" s="10" t="s">
        <v>20</v>
      </c>
      <c r="E4" s="10" t="s">
        <v>21</v>
      </c>
      <c r="F4" s="10" t="s">
        <v>22</v>
      </c>
    </row>
    <row r="5" spans="1:6" x14ac:dyDescent="0.25">
      <c r="A5" t="s">
        <v>177</v>
      </c>
      <c r="B5" s="28">
        <v>0.15337173794188635</v>
      </c>
      <c r="C5" s="28">
        <v>0.12752880345641476</v>
      </c>
      <c r="D5" s="28">
        <v>0.10168586897094317</v>
      </c>
      <c r="E5" s="28">
        <v>0.0758429344854716</v>
      </c>
      <c r="F5" s="28">
        <v>0.05</v>
      </c>
    </row>
    <row r="6" spans="1:6" x14ac:dyDescent="0.25">
      <c r="A6" t="s">
        <v>178</v>
      </c>
      <c r="B6" s="28">
        <v>0</v>
      </c>
      <c r="C6" s="28">
        <v>0</v>
      </c>
      <c r="D6" s="28">
        <v>0</v>
      </c>
      <c r="E6" s="28">
        <v>0</v>
      </c>
      <c r="F6" s="28">
        <v>0</v>
      </c>
    </row>
    <row r="7" spans="1:6" x14ac:dyDescent="0.25">
      <c r="A7" t="s">
        <v>179</v>
      </c>
      <c r="B7" s="28">
        <v>0.48421138017487275</v>
      </c>
      <c r="C7" s="28">
        <v>0.48421138017487275</v>
      </c>
      <c r="D7" s="28">
        <v>0.48421138017487275</v>
      </c>
      <c r="E7" s="28">
        <v>0.48421138017487275</v>
      </c>
      <c r="F7" s="28">
        <v>0.48421138017487275</v>
      </c>
    </row>
    <row r="8" spans="1:6" x14ac:dyDescent="0.25">
      <c r="A8" t="s">
        <v>180</v>
      </c>
      <c r="B8" s="28">
        <v>0.26000241531308493</v>
      </c>
      <c r="C8" s="28">
        <v>0.26000241531308493</v>
      </c>
      <c r="D8" s="28">
        <v>0.26000241531308493</v>
      </c>
      <c r="E8" s="28">
        <v>0.26000241531308493</v>
      </c>
      <c r="F8" s="28">
        <v>0.26000241531308493</v>
      </c>
    </row>
    <row r="9" spans="1:6" x14ac:dyDescent="0.25">
      <c r="A9" t="s">
        <v>181</v>
      </c>
      <c r="B9" s="28">
        <v>13</v>
      </c>
      <c r="C9" s="28">
        <v>13</v>
      </c>
      <c r="D9" s="28">
        <v>13</v>
      </c>
      <c r="E9" s="28">
        <v>13</v>
      </c>
      <c r="F9" s="28">
        <v>13</v>
      </c>
    </row>
    <row r="10" spans="1:6" x14ac:dyDescent="0.25">
      <c r="A10" t="s">
        <v>182</v>
      </c>
      <c r="B10" s="28">
        <v>0</v>
      </c>
      <c r="C10" s="28">
        <v>0</v>
      </c>
      <c r="D10" s="28">
        <v>0</v>
      </c>
      <c r="E10" s="28">
        <v>0</v>
      </c>
      <c r="F10" s="28">
        <v>0</v>
      </c>
    </row>
    <row r="11" spans="1:6" x14ac:dyDescent="0.25">
      <c r="A11" t="s">
        <v>183</v>
      </c>
      <c r="B11" s="28">
        <v>25</v>
      </c>
      <c r="C11" s="28">
        <v>25</v>
      </c>
      <c r="D11" s="28">
        <v>25</v>
      </c>
      <c r="E11" s="28">
        <v>25</v>
      </c>
      <c r="F11" s="28">
        <v>25</v>
      </c>
    </row>
    <row r="12" spans="1:6" x14ac:dyDescent="0.25">
      <c r="A12" t="s">
        <v>184</v>
      </c>
      <c r="B12" s="28">
        <v>0.2254028745757064</v>
      </c>
      <c r="C12" s="28">
        <v>0.20849765898252842</v>
      </c>
      <c r="D12" s="28">
        <v>0.19159244338935044</v>
      </c>
      <c r="E12" s="28">
        <v>0.17468722779617246</v>
      </c>
      <c r="F12" s="28">
        <v>0.15778201220299448</v>
      </c>
    </row>
    <row r="13" spans="1:6" x14ac:dyDescent="0.25">
      <c r="A13" t="s">
        <v>185</v>
      </c>
      <c r="B13" s="28">
        <v>0.6</v>
      </c>
      <c r="C13" s="28">
        <v>0.6</v>
      </c>
      <c r="D13" s="28">
        <v>0.6</v>
      </c>
      <c r="E13" s="28">
        <v>0.6</v>
      </c>
      <c r="F13" s="28">
        <v>0.6</v>
      </c>
    </row>
    <row r="15" spans="1:1" x14ac:dyDescent="0.25">
      <c r="A15" s="2" t="s">
        <v>186</v>
      </c>
    </row>
    <row r="17" spans="1:6" x14ac:dyDescent="0.25">
      <c r="A17" s="3" t="s">
        <v>187</v>
      </c>
      <c r="B17" s="4"/>
      <c r="C17" s="4"/>
      <c r="D17" s="4"/>
      <c r="E17" s="4"/>
      <c r="F17" s="4"/>
    </row>
    <row r="18" spans="1:3" x14ac:dyDescent="0.25">
      <c r="A18" t="s">
        <v>188</v>
      </c>
      <c r="C18" s="5" t="s">
        <v>189</v>
      </c>
    </row>
    <row r="19" spans="1:3" x14ac:dyDescent="0.25">
      <c r="A19" t="s">
        <v>190</v>
      </c>
      <c r="C19" t="s">
        <v>25</v>
      </c>
    </row>
    <row r="20" ht="80" customHeight="1" spans="1:8" x14ac:dyDescent="0.25">
      <c r="A20" t="s">
        <v>191</v>
      </c>
      <c r="C20" s="8" t="s">
        <v>192</v>
      </c>
      <c r="D20" s="8"/>
      <c r="E20" s="8"/>
      <c r="F20" s="8"/>
      <c r="G20" s="8"/>
      <c r="H20" s="8"/>
    </row>
  </sheetData>
  <mergeCells count="1">
    <mergeCell ref="C20:H20"/>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8"/>
  <sheetViews>
    <sheetView workbookViewId="0">
      <pane ySplit="2" topLeftCell="A3" activePane="bottomLeft" state="frozen"/>
      <selection pane="bottomLeft"/>
    </sheetView>
  </sheetViews>
  <sheetFormatPr defaultRowHeight="15" outlineLevelRow="0" outlineLevelCol="0" x14ac:dyDescent="55"/>
  <cols>
    <col min="1" max="1" width="44" customWidth="1"/>
    <col min="2" max="2" width="22" customWidth="1"/>
    <col min="3" max="3" width="16" customWidth="1"/>
    <col min="4" max="4" width="70" customWidth="1"/>
    <col min="5" max="7" width="16" customWidth="1"/>
  </cols>
  <sheetData>
    <row r="1" spans="1:1" x14ac:dyDescent="0.25">
      <c r="A1" s="1" t="s">
        <v>193</v>
      </c>
    </row>
    <row r="2" spans="1:1" x14ac:dyDescent="0.25">
      <c r="A2" s="2" t="s">
        <v>194</v>
      </c>
    </row>
    <row r="4" spans="1:7" x14ac:dyDescent="0.25">
      <c r="A4" s="3" t="s">
        <v>195</v>
      </c>
      <c r="B4" s="4"/>
      <c r="C4" s="4"/>
      <c r="D4" s="4"/>
      <c r="E4" s="4"/>
      <c r="F4" s="4"/>
      <c r="G4" s="4"/>
    </row>
    <row r="5" spans="1:2" x14ac:dyDescent="0.25">
      <c r="A5" t="s">
        <v>196</v>
      </c>
      <c r="B5" s="5" t="s">
        <v>7</v>
      </c>
    </row>
    <row r="6" spans="1:2" x14ac:dyDescent="0.25">
      <c r="A6" t="s">
        <v>4</v>
      </c>
      <c r="B6" s="6">
        <f>B30</f>
        <v>2359.67</v>
      </c>
    </row>
    <row r="7" spans="1:2" x14ac:dyDescent="0.25">
      <c r="A7" t="s">
        <v>3</v>
      </c>
      <c r="B7" s="15">
        <v>1973.7</v>
      </c>
    </row>
    <row r="8" spans="1:2" x14ac:dyDescent="0.25">
      <c r="A8" t="s">
        <v>5</v>
      </c>
      <c r="B8" s="7">
        <f>B6/B7-1</f>
        <v>0.19555656888078232</v>
      </c>
    </row>
    <row r="9" spans="1:3" x14ac:dyDescent="0.25">
      <c r="A9" t="s">
        <v>8</v>
      </c>
      <c r="B9" t="s">
        <v>9</v>
      </c>
      <c r="C9" s="2" t="s">
        <v>197</v>
      </c>
    </row>
    <row r="10" spans="1:2" x14ac:dyDescent="0.25">
      <c r="A10" t="s">
        <v>10</v>
      </c>
      <c r="B10" s="5" t="s">
        <v>79</v>
      </c>
    </row>
    <row r="11" spans="1:2" x14ac:dyDescent="0.25">
      <c r="A11" t="s">
        <v>198</v>
      </c>
      <c r="B11" t="s">
        <v>199</v>
      </c>
    </row>
    <row r="14" spans="1:7" x14ac:dyDescent="0.25">
      <c r="A14" s="3" t="s">
        <v>200</v>
      </c>
      <c r="B14" s="4"/>
      <c r="C14" s="4"/>
      <c r="D14" s="4"/>
      <c r="E14" s="4"/>
      <c r="F14" s="4"/>
      <c r="G14" s="4"/>
    </row>
    <row r="15" spans="1:11" x14ac:dyDescent="0.25">
      <c r="A15" s="9"/>
      <c r="B15" s="10" t="s">
        <v>18</v>
      </c>
      <c r="C15" s="10" t="s">
        <v>19</v>
      </c>
      <c r="D15" s="10" t="s">
        <v>20</v>
      </c>
      <c r="E15" s="10" t="s">
        <v>21</v>
      </c>
      <c r="F15" s="10" t="s">
        <v>22</v>
      </c>
      <c r="G15" s="10" t="s">
        <v>201</v>
      </c>
      <c r="H15" s="10" t="s">
        <v>202</v>
      </c>
      <c r="I15" s="10" t="s">
        <v>203</v>
      </c>
      <c r="J15" s="10" t="s">
        <v>204</v>
      </c>
      <c r="K15" s="10" t="s">
        <v>205</v>
      </c>
    </row>
    <row r="16" spans="1:11" x14ac:dyDescent="0.25">
      <c r="A16" t="s">
        <v>206</v>
      </c>
      <c r="B16" s="29">
        <v>33069</v>
      </c>
      <c r="C16" s="29">
        <v>61379</v>
      </c>
      <c r="D16" s="29">
        <v>68594</v>
      </c>
      <c r="E16" s="29">
        <v>77156</v>
      </c>
      <c r="F16" s="29">
        <v>87228</v>
      </c>
      <c r="G16" s="29">
        <v>70981.56884754033</v>
      </c>
      <c r="H16" s="29">
        <v>83846.71246531013</v>
      </c>
      <c r="I16" s="29">
        <v>98808.63141727383</v>
      </c>
      <c r="J16" s="29">
        <v>115835.878552796</v>
      </c>
      <c r="K16" s="29">
        <v>134639.84454830486</v>
      </c>
    </row>
    <row r="17" spans="1:11" x14ac:dyDescent="0.25">
      <c r="A17" t="s">
        <v>207</v>
      </c>
      <c r="B17" t="s">
        <v>208</v>
      </c>
      <c r="C17" t="s">
        <v>208</v>
      </c>
      <c r="D17" t="s">
        <v>208</v>
      </c>
      <c r="E17" t="s">
        <v>208</v>
      </c>
      <c r="F17" t="s">
        <v>208</v>
      </c>
      <c r="G17" t="s">
        <v>209</v>
      </c>
      <c r="H17" t="s">
        <v>209</v>
      </c>
      <c r="I17" t="s">
        <v>209</v>
      </c>
      <c r="J17" t="s">
        <v>209</v>
      </c>
      <c r="K17" t="s">
        <v>209</v>
      </c>
    </row>
    <row r="19" spans="1:2" x14ac:dyDescent="0.25">
      <c r="A19" t="s">
        <v>210</v>
      </c>
      <c r="B19" s="30">
        <v>9.99501595861778</v>
      </c>
    </row>
    <row r="20" spans="1:2" x14ac:dyDescent="0.25">
      <c r="A20" t="s">
        <v>211</v>
      </c>
      <c r="B20" s="30">
        <v>5</v>
      </c>
    </row>
    <row r="21" spans="1:2" x14ac:dyDescent="0.25">
      <c r="A21" t="s">
        <v>212</v>
      </c>
      <c r="B21" s="29">
        <v>492435</v>
      </c>
    </row>
    <row r="22" spans="1:2" x14ac:dyDescent="0.25">
      <c r="A22" t="s">
        <v>213</v>
      </c>
      <c r="B22" s="29">
        <v>1091681</v>
      </c>
    </row>
    <row r="23" spans="1:2" x14ac:dyDescent="0.25">
      <c r="A23" s="5" t="s">
        <v>214</v>
      </c>
      <c r="B23" s="11">
        <f>B21+B22</f>
        <v>1584116</v>
      </c>
    </row>
    <row r="24" spans="1:2" x14ac:dyDescent="0.25">
      <c r="A24" t="s">
        <v>215</v>
      </c>
      <c r="B24" s="29">
        <v>165035</v>
      </c>
    </row>
    <row r="25" spans="1:2" x14ac:dyDescent="0.25">
      <c r="A25" t="s">
        <v>216</v>
      </c>
      <c r="B25" t="s">
        <v>25</v>
      </c>
    </row>
    <row r="26" spans="1:2" x14ac:dyDescent="0.25">
      <c r="A26" t="s">
        <v>217</v>
      </c>
      <c r="B26" t="s">
        <v>25</v>
      </c>
    </row>
    <row r="27" spans="1:2" x14ac:dyDescent="0.25">
      <c r="A27" t="s">
        <v>218</v>
      </c>
      <c r="B27" s="29">
        <v>18901</v>
      </c>
    </row>
    <row r="28" spans="1:2" x14ac:dyDescent="0.25">
      <c r="A28" s="5" t="s">
        <v>219</v>
      </c>
      <c r="B28" s="11">
        <f>B23-B24+B27</f>
        <v>1437982</v>
      </c>
    </row>
    <row r="29" spans="1:2" x14ac:dyDescent="0.25">
      <c r="A29" t="s">
        <v>220</v>
      </c>
      <c r="B29" s="31">
        <v>609.4</v>
      </c>
    </row>
    <row r="30" spans="1:2" x14ac:dyDescent="0.25">
      <c r="A30" s="5" t="s">
        <v>4</v>
      </c>
      <c r="B30" s="6">
        <f>B28/B29</f>
        <v>2359.67</v>
      </c>
    </row>
    <row r="32" spans="1:7" x14ac:dyDescent="0.25">
      <c r="A32" s="3" t="s">
        <v>221</v>
      </c>
      <c r="B32" s="4"/>
      <c r="C32" s="4"/>
      <c r="D32" s="4"/>
      <c r="E32" s="4"/>
      <c r="F32" s="4"/>
      <c r="G32" s="4"/>
    </row>
    <row r="33" spans="1:6" x14ac:dyDescent="0.25">
      <c r="A33" s="9" t="s">
        <v>196</v>
      </c>
      <c r="B33" s="10" t="s">
        <v>222</v>
      </c>
      <c r="C33" s="10" t="s">
        <v>223</v>
      </c>
      <c r="D33" s="10" t="s">
        <v>224</v>
      </c>
      <c r="E33" s="10" t="s">
        <v>225</v>
      </c>
      <c r="F33" s="10" t="s">
        <v>226</v>
      </c>
    </row>
    <row r="34" spans="1:6" x14ac:dyDescent="0.25">
      <c r="A34" t="s">
        <v>227</v>
      </c>
      <c r="B34" s="15">
        <v>2171</v>
      </c>
      <c r="C34" s="15">
        <v>2359.67</v>
      </c>
      <c r="D34" s="15">
        <v>2596</v>
      </c>
      <c r="E34" s="17">
        <v>100</v>
      </c>
      <c r="F34" t="s">
        <v>228</v>
      </c>
    </row>
    <row r="35" spans="1:6" x14ac:dyDescent="0.25">
      <c r="A35" t="s">
        <v>229</v>
      </c>
      <c r="B35" s="15">
        <v>1837</v>
      </c>
      <c r="C35" s="15">
        <v>2040.61</v>
      </c>
      <c r="D35" s="15">
        <v>2285</v>
      </c>
      <c r="E35" s="17">
        <v>0</v>
      </c>
      <c r="F35" t="s">
        <v>230</v>
      </c>
    </row>
    <row r="36" spans="1:6" x14ac:dyDescent="0.25">
      <c r="A36" t="s">
        <v>231</v>
      </c>
      <c r="B36" s="15">
        <v>2216</v>
      </c>
      <c r="C36" s="15">
        <v>2517.69</v>
      </c>
      <c r="D36" s="15">
        <v>2895</v>
      </c>
      <c r="E36" s="17">
        <v>0</v>
      </c>
      <c r="F36" t="s">
        <v>230</v>
      </c>
    </row>
    <row r="37" spans="1:6" x14ac:dyDescent="0.25">
      <c r="A37" t="s">
        <v>232</v>
      </c>
      <c r="B37" s="15">
        <v>1289</v>
      </c>
      <c r="C37" s="15">
        <v>1431.96</v>
      </c>
      <c r="D37" s="15">
        <v>1575</v>
      </c>
      <c r="E37" s="17">
        <v>0</v>
      </c>
      <c r="F37" t="s">
        <v>230</v>
      </c>
    </row>
    <row r="39" spans="1:7" x14ac:dyDescent="0.25">
      <c r="A39" s="3" t="s">
        <v>233</v>
      </c>
      <c r="B39" s="4"/>
      <c r="C39" s="4"/>
      <c r="D39" s="4"/>
      <c r="E39" s="4"/>
      <c r="F39" s="4"/>
      <c r="G39" s="4"/>
    </row>
    <row r="40" spans="1:3" x14ac:dyDescent="0.25">
      <c r="A40" t="s">
        <v>234</v>
      </c>
      <c r="B40" s="15">
        <v>1431.96</v>
      </c>
      <c r="C40" s="2"/>
    </row>
    <row r="41" spans="1:3" x14ac:dyDescent="0.25">
      <c r="A41" t="s">
        <v>235</v>
      </c>
      <c r="B41" t="s">
        <v>236</v>
      </c>
      <c r="C41" s="2" t="s">
        <v>237</v>
      </c>
    </row>
    <row r="43" spans="1:7" x14ac:dyDescent="0.25">
      <c r="A43" s="3" t="s">
        <v>238</v>
      </c>
      <c r="B43" s="4"/>
      <c r="C43" s="4"/>
      <c r="D43" s="4"/>
      <c r="E43" s="4"/>
      <c r="F43" s="4"/>
      <c r="G43" s="4"/>
    </row>
    <row r="44" spans="1:4" x14ac:dyDescent="0.25">
      <c r="A44" s="9" t="s">
        <v>239</v>
      </c>
      <c r="B44" s="10" t="s">
        <v>240</v>
      </c>
      <c r="C44" s="10" t="s">
        <v>241</v>
      </c>
      <c r="D44" s="10" t="s">
        <v>242</v>
      </c>
    </row>
    <row r="45" spans="1:4" x14ac:dyDescent="0.25">
      <c r="A45" t="s">
        <v>243</v>
      </c>
      <c r="B45" t="s">
        <v>244</v>
      </c>
      <c r="D45" s="8" t="s">
        <v>245</v>
      </c>
    </row>
    <row r="46" spans="1:4" x14ac:dyDescent="0.25">
      <c r="A46" t="s">
        <v>246</v>
      </c>
      <c r="B46" t="s">
        <v>244</v>
      </c>
      <c r="D46" s="8" t="s">
        <v>247</v>
      </c>
    </row>
    <row r="47" spans="1:4" x14ac:dyDescent="0.25">
      <c r="A47" t="s">
        <v>248</v>
      </c>
      <c r="B47" t="s">
        <v>244</v>
      </c>
      <c r="D47" s="8" t="s">
        <v>249</v>
      </c>
    </row>
    <row r="48" spans="1:4" x14ac:dyDescent="0.25">
      <c r="A48" t="s">
        <v>250</v>
      </c>
      <c r="B48" t="s">
        <v>244</v>
      </c>
      <c r="D48" s="8" t="s">
        <v>251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pane xSplit="1" ySplit="2" topLeftCell="B3" activePane="bottomRight" state="frozen"/>
      <selection pane="bottomRight"/>
    </sheetView>
  </sheetViews>
  <sheetFormatPr defaultRowHeight="15" outlineLevelRow="0" outlineLevelCol="0" x14ac:dyDescent="55"/>
  <cols>
    <col min="1" max="1" width="40" customWidth="1"/>
    <col min="2" max="2" width="16" customWidth="1"/>
    <col min="3" max="16" width="13" customWidth="1"/>
  </cols>
  <sheetData>
    <row r="1" spans="1:1" x14ac:dyDescent="0.25">
      <c r="A1" s="1" t="s">
        <v>252</v>
      </c>
    </row>
    <row r="2" spans="1:1" x14ac:dyDescent="0.25">
      <c r="A2" s="2" t="s">
        <v>253</v>
      </c>
    </row>
    <row r="4" spans="1:16" x14ac:dyDescent="0.25">
      <c r="A4" s="3" t="s">
        <v>254</v>
      </c>
      <c r="B4" s="4"/>
      <c r="C4" s="4"/>
      <c r="D4" s="4"/>
      <c r="E4" s="4"/>
      <c r="F4" s="4"/>
      <c r="G4" s="4"/>
      <c r="H4" s="4"/>
      <c r="I4" s="4"/>
      <c r="J4" s="4"/>
      <c r="K4" s="4"/>
      <c r="L4" s="4"/>
      <c r="M4" s="4"/>
      <c r="N4" s="4"/>
      <c r="O4" s="4"/>
      <c r="P4" s="4"/>
    </row>
    <row r="5" spans="1:1" x14ac:dyDescent="0.25">
      <c r="A5" s="2" t="s">
        <v>255</v>
      </c>
    </row>
    <row r="6" spans="1:1" x14ac:dyDescent="0.25">
      <c r="A6" s="2" t="s">
        <v>256</v>
      </c>
    </row>
    <row r="7" spans="1:16" x14ac:dyDescent="0.25">
      <c r="A7" s="9" t="s">
        <v>257</v>
      </c>
      <c r="B7" s="10" t="s">
        <v>258</v>
      </c>
      <c r="C7" s="10" t="s">
        <v>39</v>
      </c>
      <c r="D7" s="10" t="s">
        <v>40</v>
      </c>
      <c r="E7" s="10" t="s">
        <v>259</v>
      </c>
      <c r="F7" s="10" t="s">
        <v>260</v>
      </c>
      <c r="G7" s="10" t="s">
        <v>41</v>
      </c>
      <c r="H7" s="10" t="s">
        <v>261</v>
      </c>
      <c r="I7" s="10" t="s">
        <v>262</v>
      </c>
      <c r="J7" s="10" t="s">
        <v>263</v>
      </c>
      <c r="K7" s="10" t="s">
        <v>264</v>
      </c>
      <c r="L7" s="10" t="s">
        <v>265</v>
      </c>
      <c r="M7" s="10" t="s">
        <v>266</v>
      </c>
      <c r="N7" s="10" t="s">
        <v>267</v>
      </c>
      <c r="O7" s="10" t="s">
        <v>268</v>
      </c>
      <c r="P7" s="10" t="s">
        <v>269</v>
      </c>
    </row>
    <row r="8" spans="1:16" x14ac:dyDescent="0.25">
      <c r="A8" s="32" t="s">
        <v>270</v>
      </c>
      <c r="B8" t="s">
        <v>271</v>
      </c>
      <c r="C8" s="33">
        <v>36.42216834698282</v>
      </c>
      <c r="D8" s="33">
        <v>11.989477659337075</v>
      </c>
      <c r="E8" s="33">
        <v>21.894613105966805</v>
      </c>
      <c r="F8" s="33">
        <v>6.6214254904656045</v>
      </c>
      <c r="G8" s="33">
        <v>8.264670562268126</v>
      </c>
      <c r="H8" s="34">
        <v>6.130008190553346</v>
      </c>
      <c r="I8" s="34">
        <v>1.22</v>
      </c>
      <c r="J8" s="34">
        <v>15.235106274594704</v>
      </c>
      <c r="K8" s="34">
        <v>22.69131942813823</v>
      </c>
      <c r="L8" s="34">
        <v>55.2269721717945</v>
      </c>
      <c r="M8" s="34">
        <v>35.794153754271875</v>
      </c>
      <c r="N8" s="34">
        <v>223.26819028471752</v>
      </c>
      <c r="O8" s="33">
        <v>1.416439226187411</v>
      </c>
      <c r="P8" s="33">
        <v>2.9600092785896543</v>
      </c>
    </row>
    <row r="9" spans="1:16" x14ac:dyDescent="0.25">
      <c r="A9" t="s">
        <v>272</v>
      </c>
      <c r="B9" t="s">
        <v>273</v>
      </c>
      <c r="C9" s="16">
        <v>3.7094813614262563</v>
      </c>
      <c r="D9" s="16">
        <v>16.70115064425473</v>
      </c>
      <c r="E9" t="s">
        <v>25</v>
      </c>
      <c r="F9" s="16">
        <v>7.019076059100127</v>
      </c>
      <c r="G9" t="s">
        <v>25</v>
      </c>
      <c r="H9" s="18">
        <v>6.5787625809471795</v>
      </c>
      <c r="I9" s="18">
        <v>0</v>
      </c>
      <c r="J9" s="18">
        <v>-2.1511000470077266</v>
      </c>
      <c r="K9" t="s">
        <v>25</v>
      </c>
      <c r="L9" s="18">
        <v>42.02749983286163</v>
      </c>
      <c r="M9" s="18">
        <v>18.790809618255967</v>
      </c>
      <c r="N9" s="18">
        <v>24.403797175272054</v>
      </c>
      <c r="O9" s="16">
        <v>9.904926030012195</v>
      </c>
      <c r="P9" s="16">
        <v>-0.15115143056524774</v>
      </c>
    </row>
    <row r="10" spans="1:16" x14ac:dyDescent="0.25">
      <c r="A10" t="s">
        <v>274</v>
      </c>
      <c r="B10" t="s">
        <v>275</v>
      </c>
      <c r="C10" s="16">
        <v>47.90672016048144</v>
      </c>
      <c r="D10" t="s">
        <v>25</v>
      </c>
      <c r="E10" t="s">
        <v>25</v>
      </c>
      <c r="F10" t="s">
        <v>25</v>
      </c>
      <c r="G10" s="16">
        <v>14.043810643928257</v>
      </c>
      <c r="H10" s="18">
        <v>4.283650524464544</v>
      </c>
      <c r="I10" s="18">
        <v>1.04</v>
      </c>
      <c r="J10" t="s">
        <v>25</v>
      </c>
      <c r="K10" s="18">
        <v>29.314907380182298</v>
      </c>
      <c r="L10" s="18">
        <v>19.441196629439986</v>
      </c>
      <c r="M10" s="18">
        <v>8.249002136838286</v>
      </c>
      <c r="N10" s="18">
        <v>205.2156469408225</v>
      </c>
      <c r="O10" t="s">
        <v>25</v>
      </c>
      <c r="P10" s="16">
        <v>2.6181102362204722</v>
      </c>
    </row>
    <row r="11" spans="1:16" x14ac:dyDescent="0.25">
      <c r="A11" s="5" t="s">
        <v>37</v>
      </c>
      <c r="C11" t="s">
        <v>25</v>
      </c>
      <c r="D11" t="s">
        <v>25</v>
      </c>
      <c r="E11" t="s">
        <v>25</v>
      </c>
      <c r="F11" t="s">
        <v>25</v>
      </c>
      <c r="G11" t="s">
        <v>25</v>
      </c>
      <c r="H11" t="s">
        <v>25</v>
      </c>
      <c r="I11" t="s">
        <v>25</v>
      </c>
      <c r="J11" t="s">
        <v>25</v>
      </c>
      <c r="K11" t="s">
        <v>25</v>
      </c>
      <c r="L11" t="s">
        <v>25</v>
      </c>
      <c r="M11" t="s">
        <v>25</v>
      </c>
      <c r="N11" t="s">
        <v>25</v>
      </c>
      <c r="O11" t="s">
        <v>25</v>
      </c>
      <c r="P11" t="s">
        <v>25</v>
      </c>
    </row>
    <row r="12" spans="1:16" x14ac:dyDescent="0.25">
      <c r="A12" t="s">
        <v>276</v>
      </c>
      <c r="C12" t="s">
        <v>25</v>
      </c>
      <c r="D12" t="s">
        <v>25</v>
      </c>
      <c r="E12" t="s">
        <v>25</v>
      </c>
      <c r="F12" t="s">
        <v>25</v>
      </c>
      <c r="G12" t="s">
        <v>25</v>
      </c>
      <c r="H12" t="s">
        <v>25</v>
      </c>
      <c r="I12" t="s">
        <v>25</v>
      </c>
      <c r="J12" t="s">
        <v>25</v>
      </c>
      <c r="K12" t="s">
        <v>25</v>
      </c>
      <c r="L12" t="s">
        <v>25</v>
      </c>
      <c r="M12" t="s">
        <v>25</v>
      </c>
      <c r="N12" t="s">
        <v>25</v>
      </c>
      <c r="O12" t="s">
        <v>25</v>
      </c>
      <c r="P12" t="s">
        <v>25</v>
      </c>
    </row>
    <row r="13" spans="1:16" x14ac:dyDescent="0.25">
      <c r="A13" t="s">
        <v>277</v>
      </c>
      <c r="C13" t="s">
        <v>25</v>
      </c>
      <c r="D13" t="s">
        <v>25</v>
      </c>
      <c r="E13" t="s">
        <v>25</v>
      </c>
      <c r="F13" t="s">
        <v>25</v>
      </c>
      <c r="G13" t="s">
        <v>25</v>
      </c>
      <c r="H13" t="s">
        <v>25</v>
      </c>
      <c r="I13" t="s">
        <v>25</v>
      </c>
      <c r="J13" t="s">
        <v>25</v>
      </c>
      <c r="K13" t="s">
        <v>25</v>
      </c>
      <c r="L13" t="s">
        <v>25</v>
      </c>
      <c r="M13" t="s">
        <v>25</v>
      </c>
      <c r="N13" t="s">
        <v>25</v>
      </c>
      <c r="O13" t="s">
        <v>25</v>
      </c>
      <c r="P13" t="s">
        <v>25</v>
      </c>
    </row>
    <row r="14" spans="1:16" x14ac:dyDescent="0.25">
      <c r="A14" t="s">
        <v>278</v>
      </c>
      <c r="C14" t="s">
        <v>25</v>
      </c>
      <c r="D14" t="s">
        <v>25</v>
      </c>
      <c r="E14" t="s">
        <v>25</v>
      </c>
      <c r="F14" t="s">
        <v>25</v>
      </c>
      <c r="G14" t="s">
        <v>25</v>
      </c>
      <c r="H14" t="s">
        <v>25</v>
      </c>
      <c r="I14" t="s">
        <v>25</v>
      </c>
      <c r="J14" t="s">
        <v>25</v>
      </c>
      <c r="K14" t="s">
        <v>25</v>
      </c>
      <c r="L14" t="s">
        <v>25</v>
      </c>
      <c r="M14" t="s">
        <v>25</v>
      </c>
      <c r="N14" t="s">
        <v>25</v>
      </c>
      <c r="O14" t="s">
        <v>25</v>
      </c>
      <c r="P14" t="s">
        <v>25</v>
      </c>
    </row>
    <row r="15" spans="1:16" x14ac:dyDescent="0.25">
      <c r="A15" t="s">
        <v>279</v>
      </c>
      <c r="C15" s="17">
        <f>COUNT(C9:C10)</f>
        <v>2</v>
      </c>
      <c r="D15" s="17">
        <f>COUNT(D9:D10)</f>
        <v>1</v>
      </c>
      <c r="E15" s="17">
        <f>COUNT(E9:E10)</f>
        <v>0</v>
      </c>
      <c r="F15" s="17">
        <f>COUNT(F9:F10)</f>
        <v>1</v>
      </c>
      <c r="G15" s="17">
        <f>COUNT(G9:G10)</f>
        <v>1</v>
      </c>
      <c r="H15" s="17">
        <f>COUNT(H9:H10)</f>
        <v>2</v>
      </c>
      <c r="I15" s="17">
        <f>COUNT(I9:I10)</f>
        <v>2</v>
      </c>
      <c r="J15" s="17">
        <f>COUNT(J9:J10)</f>
        <v>1</v>
      </c>
      <c r="K15" s="17">
        <f>COUNT(K9:K10)</f>
        <v>1</v>
      </c>
      <c r="L15" s="17">
        <f>COUNT(L9:L10)</f>
        <v>2</v>
      </c>
      <c r="M15" s="17">
        <f>COUNT(M9:M10)</f>
        <v>2</v>
      </c>
      <c r="N15" s="17">
        <f>COUNT(N9:N10)</f>
        <v>2</v>
      </c>
      <c r="O15" s="17">
        <f>COUNT(O9:O10)</f>
        <v>1</v>
      </c>
      <c r="P15" s="17">
        <f>COUNT(P9:P10)</f>
        <v>2</v>
      </c>
    </row>
    <row r="16" spans="1:16" x14ac:dyDescent="0.25">
      <c r="A16" t="s">
        <v>280</v>
      </c>
      <c r="C16" t="s">
        <v>281</v>
      </c>
      <c r="D16" t="s">
        <v>281</v>
      </c>
      <c r="E16" t="s">
        <v>281</v>
      </c>
      <c r="F16" t="s">
        <v>281</v>
      </c>
      <c r="G16" t="s">
        <v>281</v>
      </c>
      <c r="H16" t="s">
        <v>281</v>
      </c>
      <c r="I16" t="s">
        <v>281</v>
      </c>
      <c r="J16" t="s">
        <v>281</v>
      </c>
      <c r="K16" t="s">
        <v>281</v>
      </c>
      <c r="L16" t="s">
        <v>281</v>
      </c>
      <c r="M16" t="s">
        <v>281</v>
      </c>
      <c r="N16" t="s">
        <v>281</v>
      </c>
      <c r="O16" t="s">
        <v>281</v>
      </c>
      <c r="P16" t="s">
        <v>281</v>
      </c>
    </row>
    <row r="17" spans="1:16" x14ac:dyDescent="0.25">
      <c r="A17" s="5" t="s">
        <v>282</v>
      </c>
      <c r="C17" t="s">
        <v>25</v>
      </c>
      <c r="D17" t="s">
        <v>25</v>
      </c>
      <c r="E17" t="s">
        <v>25</v>
      </c>
      <c r="F17" t="s">
        <v>25</v>
      </c>
      <c r="G17" t="s">
        <v>25</v>
      </c>
      <c r="H17" t="s">
        <v>25</v>
      </c>
      <c r="I17" t="s">
        <v>25</v>
      </c>
      <c r="J17" t="s">
        <v>25</v>
      </c>
      <c r="K17" t="s">
        <v>25</v>
      </c>
      <c r="L17" t="s">
        <v>25</v>
      </c>
      <c r="M17" t="s">
        <v>25</v>
      </c>
      <c r="N17" t="s">
        <v>25</v>
      </c>
      <c r="O17" t="s">
        <v>25</v>
      </c>
      <c r="P17" t="s">
        <v>25</v>
      </c>
    </row>
    <row r="19" spans="1:1" x14ac:dyDescent="0.25">
      <c r="A19" s="2" t="s">
        <v>283</v>
      </c>
    </row>
    <row r="20" spans="1:1" x14ac:dyDescent="0.25">
      <c r="A20" s="2" t="s">
        <v>284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FormatPr defaultRowHeight="15" outlineLevelRow="0" outlineLevelCol="0" x14ac:dyDescent="55"/>
  <cols>
    <col min="1" max="1" width="52" customWidth="1"/>
    <col min="2" max="9" width="16" customWidth="1"/>
  </cols>
  <sheetData>
    <row r="1" spans="1:1" x14ac:dyDescent="0.25">
      <c r="A1" s="1" t="s">
        <v>285</v>
      </c>
    </row>
    <row r="2" spans="1:1" x14ac:dyDescent="0.25">
      <c r="A2" s="2" t="s">
        <v>286</v>
      </c>
    </row>
    <row r="4" spans="1:8" x14ac:dyDescent="0.25">
      <c r="A4" s="3" t="s">
        <v>287</v>
      </c>
      <c r="B4" s="4"/>
      <c r="C4" s="4"/>
      <c r="D4" s="4"/>
      <c r="E4" s="4"/>
      <c r="F4" s="4"/>
      <c r="G4" s="4"/>
      <c r="H4" s="4"/>
    </row>
    <row r="5" spans="1:7" x14ac:dyDescent="0.25">
      <c r="A5" s="9" t="s">
        <v>288</v>
      </c>
      <c r="B5" s="10" t="s">
        <v>289</v>
      </c>
      <c r="C5" s="10" t="s">
        <v>290</v>
      </c>
      <c r="D5" s="10" t="s">
        <v>291</v>
      </c>
      <c r="E5" s="10" t="s">
        <v>292</v>
      </c>
      <c r="F5" s="10" t="s">
        <v>293</v>
      </c>
      <c r="G5" s="10" t="s">
        <v>294</v>
      </c>
    </row>
    <row r="6" spans="1:7" x14ac:dyDescent="0.25">
      <c r="A6" s="5" t="s">
        <v>295</v>
      </c>
      <c r="B6" s="35">
        <v>2756.51</v>
      </c>
      <c r="C6" s="35">
        <v>2956.15</v>
      </c>
      <c r="D6" s="35">
        <v>3204.73</v>
      </c>
      <c r="E6" s="35">
        <v>3523.24</v>
      </c>
      <c r="F6" s="35">
        <v>3946.72</v>
      </c>
      <c r="G6" s="35">
        <v>4538.23</v>
      </c>
    </row>
    <row r="7" spans="1:7" x14ac:dyDescent="0.25">
      <c r="A7" s="5" t="s">
        <v>296</v>
      </c>
      <c r="B7" s="35">
        <v>2463</v>
      </c>
      <c r="C7" s="35">
        <v>2617.05</v>
      </c>
      <c r="D7" s="35">
        <v>2804.51</v>
      </c>
      <c r="E7" s="35">
        <v>3037.92</v>
      </c>
      <c r="F7" s="35">
        <v>3336.99</v>
      </c>
      <c r="G7" s="35">
        <v>3734.58</v>
      </c>
    </row>
    <row r="8" spans="1:7" x14ac:dyDescent="0.25">
      <c r="A8" s="5" t="s">
        <v>297</v>
      </c>
      <c r="B8" s="35">
        <v>2219.17</v>
      </c>
      <c r="C8" s="35">
        <v>2340.28</v>
      </c>
      <c r="D8" s="35">
        <v>2484.91</v>
      </c>
      <c r="E8" s="35">
        <v>2660.9</v>
      </c>
      <c r="F8" s="35">
        <v>2880.02</v>
      </c>
      <c r="G8" s="35">
        <v>3160.76</v>
      </c>
    </row>
    <row r="9" spans="1:7" x14ac:dyDescent="0.25">
      <c r="A9" s="5" t="s">
        <v>298</v>
      </c>
      <c r="B9" s="35">
        <v>2013.5</v>
      </c>
      <c r="C9" s="35">
        <v>2110.22</v>
      </c>
      <c r="D9" s="35">
        <v>2223.91</v>
      </c>
      <c r="E9" s="35">
        <v>2359.67</v>
      </c>
      <c r="F9" s="35">
        <v>2524.85</v>
      </c>
      <c r="G9" s="35">
        <v>2730.5</v>
      </c>
    </row>
    <row r="10" spans="1:7" x14ac:dyDescent="0.25">
      <c r="A10" s="5" t="s">
        <v>299</v>
      </c>
      <c r="B10" s="35">
        <v>1837.8</v>
      </c>
      <c r="C10" s="35">
        <v>1916.06</v>
      </c>
      <c r="D10" s="35">
        <v>2006.83</v>
      </c>
      <c r="E10" s="35">
        <v>2113.53</v>
      </c>
      <c r="F10" s="35">
        <v>2240.92</v>
      </c>
      <c r="G10" s="35">
        <v>2395.92</v>
      </c>
    </row>
    <row r="11" spans="1:7" x14ac:dyDescent="0.25">
      <c r="A11" s="5" t="s">
        <v>300</v>
      </c>
      <c r="B11" s="35">
        <v>1686.05</v>
      </c>
      <c r="C11" s="35">
        <v>1750.09</v>
      </c>
      <c r="D11" s="35">
        <v>1823.52</v>
      </c>
      <c r="E11" s="35">
        <v>1908.69</v>
      </c>
      <c r="F11" s="35">
        <v>2008.79</v>
      </c>
      <c r="G11" s="35">
        <v>2128.3</v>
      </c>
    </row>
    <row r="13" spans="1:8" x14ac:dyDescent="0.25">
      <c r="A13" s="3" t="s">
        <v>301</v>
      </c>
      <c r="B13" s="4"/>
      <c r="C13" s="4"/>
      <c r="D13" s="4"/>
      <c r="E13" s="4"/>
      <c r="F13" s="4"/>
      <c r="G13" s="4"/>
      <c r="H13" s="4"/>
    </row>
    <row r="14" spans="1:2" x14ac:dyDescent="0.25">
      <c r="A14" t="s">
        <v>302</v>
      </c>
      <c r="B14" s="15">
        <v>1973.7</v>
      </c>
    </row>
    <row r="15" spans="1:2" x14ac:dyDescent="0.25">
      <c r="A15" t="s">
        <v>303</v>
      </c>
      <c r="B15" s="18">
        <v>15.4</v>
      </c>
    </row>
    <row r="16" spans="1:2" x14ac:dyDescent="0.25">
      <c r="A16" t="s">
        <v>304</v>
      </c>
      <c r="B16" s="18">
        <v>14.88</v>
      </c>
    </row>
    <row r="17" spans="1:2" x14ac:dyDescent="0.25">
      <c r="A17" t="s">
        <v>305</v>
      </c>
      <c r="B17" s="36">
        <v>52</v>
      </c>
    </row>
    <row r="18" spans="1:2" x14ac:dyDescent="0.25">
      <c r="A18" t="s">
        <v>306</v>
      </c>
      <c r="B18" s="18">
        <v>30.74</v>
      </c>
    </row>
    <row r="19" spans="1:2" x14ac:dyDescent="0.25">
      <c r="A19" t="s">
        <v>307</v>
      </c>
      <c r="B19" t="s">
        <v>308</v>
      </c>
    </row>
    <row r="20" spans="1:1" x14ac:dyDescent="0.25">
      <c r="A20" s="2" t="s">
        <v>237</v>
      </c>
    </row>
    <row r="22" spans="1:8" x14ac:dyDescent="0.25">
      <c r="A22" s="3" t="s">
        <v>309</v>
      </c>
      <c r="B22" s="4"/>
      <c r="C22" s="4"/>
      <c r="D22" s="4"/>
      <c r="E22" s="4"/>
      <c r="F22" s="4"/>
      <c r="G22" s="4"/>
      <c r="H22" s="4"/>
    </row>
    <row r="23" spans="1:7" x14ac:dyDescent="0.25">
      <c r="A23" s="9" t="s">
        <v>310</v>
      </c>
      <c r="B23" s="10" t="s">
        <v>311</v>
      </c>
      <c r="C23" s="10" t="s">
        <v>312</v>
      </c>
      <c r="D23" s="10" t="s">
        <v>313</v>
      </c>
      <c r="E23" s="10" t="s">
        <v>314</v>
      </c>
      <c r="F23" s="10" t="s">
        <v>278</v>
      </c>
      <c r="G23" s="10" t="s">
        <v>315</v>
      </c>
    </row>
    <row r="24" spans="1:7" x14ac:dyDescent="0.25">
      <c r="A24" s="35">
        <v>673.7</v>
      </c>
      <c r="B24" s="35">
        <v>1033.2</v>
      </c>
      <c r="C24" s="35">
        <v>1364.5</v>
      </c>
      <c r="D24" s="35">
        <v>1789.7</v>
      </c>
      <c r="E24" s="35">
        <v>2600.8</v>
      </c>
      <c r="F24" s="35">
        <v>1467</v>
      </c>
      <c r="G24" s="18">
        <v>17.6</v>
      </c>
    </row>
    <row r="26" spans="1:8" x14ac:dyDescent="0.25">
      <c r="A26" s="3" t="s">
        <v>316</v>
      </c>
      <c r="B26" s="4"/>
      <c r="C26" s="4"/>
      <c r="D26" s="4"/>
      <c r="E26" s="4"/>
      <c r="F26" s="4"/>
      <c r="G26" s="4"/>
      <c r="H26" s="4"/>
    </row>
    <row r="27" spans="1:1" x14ac:dyDescent="0.25">
      <c r="A27" t="s">
        <v>317</v>
      </c>
    </row>
    <row r="28" spans="1:2" x14ac:dyDescent="0.25">
      <c r="A28" t="s">
        <v>210</v>
      </c>
      <c r="B28" s="37">
        <v>9.99501595861778</v>
      </c>
    </row>
    <row r="29" spans="1:2" x14ac:dyDescent="0.25">
      <c r="A29" t="s">
        <v>318</v>
      </c>
      <c r="B29" s="37">
        <v>6.950000000000001</v>
      </c>
    </row>
    <row r="30" spans="1:2" x14ac:dyDescent="0.25">
      <c r="A30" t="s">
        <v>319</v>
      </c>
      <c r="B30" s="30">
        <v>0.661</v>
      </c>
    </row>
    <row r="31" spans="1:2" x14ac:dyDescent="0.25">
      <c r="A31" t="s">
        <v>320</v>
      </c>
      <c r="B31" s="37">
        <v>5.5</v>
      </c>
    </row>
    <row r="32" spans="1:2" x14ac:dyDescent="0.25">
      <c r="A32" t="s">
        <v>321</v>
      </c>
      <c r="B32" s="37">
        <v>10.5855</v>
      </c>
    </row>
    <row r="33" spans="1:2" x14ac:dyDescent="0.25">
      <c r="A33" t="s">
        <v>322</v>
      </c>
      <c r="B33" s="37">
        <v>6.36055</v>
      </c>
    </row>
    <row r="34" spans="1:2" x14ac:dyDescent="0.25">
      <c r="A34" t="s">
        <v>211</v>
      </c>
      <c r="B34" s="37">
        <v>5</v>
      </c>
    </row>
    <row r="35" spans="1:1" x14ac:dyDescent="0.25">
      <c r="A35" s="2" t="s">
        <v>323</v>
      </c>
    </row>
    <row r="37" spans="1:8" x14ac:dyDescent="0.25">
      <c r="A37" s="3" t="s">
        <v>324</v>
      </c>
      <c r="B37" s="4"/>
      <c r="C37" s="4"/>
      <c r="D37" s="4"/>
      <c r="E37" s="4"/>
      <c r="F37" s="4"/>
      <c r="G37" s="4"/>
      <c r="H37" s="4"/>
    </row>
    <row r="38" spans="1:1" x14ac:dyDescent="0.25">
      <c r="A38" s="2" t="s">
        <v>325</v>
      </c>
    </row>
    <row r="40" spans="1:8" x14ac:dyDescent="0.25">
      <c r="A40" s="3" t="s">
        <v>326</v>
      </c>
      <c r="B40" s="4"/>
      <c r="C40" s="4"/>
      <c r="D40" s="4"/>
      <c r="E40" s="4"/>
      <c r="F40" s="4"/>
      <c r="G40" s="4"/>
      <c r="H40" s="4"/>
    </row>
    <row r="41" spans="1:1" x14ac:dyDescent="0.25">
      <c r="A41" s="2" t="s">
        <v>327</v>
      </c>
    </row>
    <row r="42" spans="1:1" x14ac:dyDescent="0.25">
      <c r="A42" s="2" t="s">
        <v>328</v>
      </c>
    </row>
    <row r="43" spans="1:1" x14ac:dyDescent="0.25">
      <c r="A43" s="2" t="s">
        <v>329</v>
      </c>
    </row>
    <row r="44" spans="1:1" x14ac:dyDescent="0.25">
      <c r="A44" s="2" t="s">
        <v>330</v>
      </c>
    </row>
    <row r="45" spans="1:1" x14ac:dyDescent="0.25">
      <c r="A45" s="2" t="s">
        <v>331</v>
      </c>
    </row>
    <row r="46" spans="1:1" x14ac:dyDescent="0.25">
      <c r="A46" s="2" t="s">
        <v>332</v>
      </c>
    </row>
    <row r="47" spans="1:1" x14ac:dyDescent="0.25">
      <c r="A47" s="2" t="s">
        <v>333</v>
      </c>
    </row>
    <row r="49" spans="1:8" x14ac:dyDescent="0.25">
      <c r="A49" s="3" t="s">
        <v>334</v>
      </c>
      <c r="B49" s="4"/>
      <c r="C49" s="4"/>
      <c r="D49" s="4"/>
      <c r="E49" s="4"/>
      <c r="F49" s="4"/>
      <c r="G49" s="4"/>
      <c r="H49" s="4"/>
    </row>
    <row r="50" spans="1:2" x14ac:dyDescent="0.25">
      <c r="A50" s="5" t="s">
        <v>335</v>
      </c>
      <c r="B50" t="s">
        <v>336</v>
      </c>
    </row>
    <row r="51" spans="1:2" x14ac:dyDescent="0.25">
      <c r="A51" s="5" t="s">
        <v>337</v>
      </c>
      <c r="B51" t="s">
        <v>338</v>
      </c>
    </row>
    <row r="52" spans="1:2" x14ac:dyDescent="0.25">
      <c r="A52" s="5" t="s">
        <v>339</v>
      </c>
      <c r="B52" t="s">
        <v>340</v>
      </c>
    </row>
    <row r="53" spans="1:2" x14ac:dyDescent="0.25">
      <c r="A53" s="5" t="s">
        <v>341</v>
      </c>
      <c r="B53" t="s">
        <v>342</v>
      </c>
    </row>
    <row r="54" spans="1:2" x14ac:dyDescent="0.25">
      <c r="A54" s="5" t="s">
        <v>343</v>
      </c>
      <c r="B54" t="s">
        <v>344</v>
      </c>
    </row>
    <row r="55" spans="1:2" x14ac:dyDescent="0.25">
      <c r="A55" s="5" t="s">
        <v>345</v>
      </c>
      <c r="B55" t="s">
        <v>346</v>
      </c>
    </row>
    <row r="56" spans="1:2" x14ac:dyDescent="0.25">
      <c r="A56" s="5" t="s">
        <v>347</v>
      </c>
      <c r="B56" t="s">
        <v>348</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FormatPr defaultRowHeight="15" outlineLevelRow="0" outlineLevelCol="0" x14ac:dyDescent="55"/>
  <cols>
    <col min="1" max="1" width="120" customWidth="1"/>
  </cols>
  <sheetData>
    <row r="1" spans="1:1" x14ac:dyDescent="0.25">
      <c r="A1" s="1" t="s">
        <v>349</v>
      </c>
    </row>
    <row r="2" spans="1:1" x14ac:dyDescent="0.25">
      <c r="A2" s="2" t="s">
        <v>350</v>
      </c>
    </row>
    <row r="4" spans="1:1" x14ac:dyDescent="0.25">
      <c r="A4" s="5" t="s">
        <v>351</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0"/>
  <sheetViews>
    <sheetView workbookViewId="0">
      <pane xSplit="1" ySplit="3" topLeftCell="B4" activePane="bottomRight" state="frozen"/>
      <selection pane="bottomRight"/>
    </sheetView>
  </sheetViews>
  <sheetFormatPr defaultRowHeight="15" outlineLevelRow="0" outlineLevelCol="0" x14ac:dyDescent="55"/>
  <cols>
    <col min="1" max="1" width="60" customWidth="1"/>
    <col min="2" max="12" width="14" customWidth="1"/>
  </cols>
  <sheetData>
    <row r="1" spans="1:1" x14ac:dyDescent="0.25">
      <c r="A1" s="1" t="s">
        <v>352</v>
      </c>
    </row>
    <row r="2" spans="1:1" x14ac:dyDescent="0.25">
      <c r="A2" s="2" t="s">
        <v>353</v>
      </c>
    </row>
    <row r="4" spans="1:10" x14ac:dyDescent="0.25">
      <c r="A4" s="3" t="s">
        <v>354</v>
      </c>
      <c r="B4" s="4"/>
      <c r="C4" s="4"/>
      <c r="D4" s="4"/>
      <c r="E4" s="4"/>
      <c r="F4" s="4"/>
      <c r="G4" s="4"/>
      <c r="H4" s="4"/>
      <c r="I4" s="4"/>
      <c r="J4" s="4"/>
    </row>
    <row r="5" spans="1:10" x14ac:dyDescent="0.25">
      <c r="A5" s="9" t="s">
        <v>355</v>
      </c>
      <c r="B5" s="10" t="s">
        <v>14</v>
      </c>
      <c r="C5" s="10" t="s">
        <v>15</v>
      </c>
      <c r="D5" s="10" t="s">
        <v>16</v>
      </c>
      <c r="E5" s="10" t="s">
        <v>17</v>
      </c>
      <c r="F5" s="10" t="s">
        <v>18</v>
      </c>
      <c r="G5" s="10" t="s">
        <v>19</v>
      </c>
      <c r="H5" s="10" t="s">
        <v>20</v>
      </c>
      <c r="I5" s="10" t="s">
        <v>21</v>
      </c>
      <c r="J5" s="10" t="s">
        <v>22</v>
      </c>
    </row>
    <row r="6" spans="1:10" x14ac:dyDescent="0.25">
      <c r="A6" t="s">
        <v>356</v>
      </c>
      <c r="B6" s="13">
        <f>'Income Statement'!B5/'Income Statement'!B5</f>
        <v>1</v>
      </c>
      <c r="C6" s="13">
        <f>'Income Statement'!C5/'Income Statement'!C5</f>
        <v>1</v>
      </c>
      <c r="D6" s="13">
        <f>'Income Statement'!D5/'Income Statement'!D5</f>
        <v>1</v>
      </c>
      <c r="E6" s="13">
        <f>'Income Statement'!E5/'Income Statement'!E5</f>
        <v>1</v>
      </c>
      <c r="F6" t="s">
        <v>25</v>
      </c>
      <c r="G6" t="s">
        <v>25</v>
      </c>
      <c r="H6" t="s">
        <v>25</v>
      </c>
      <c r="I6" t="s">
        <v>25</v>
      </c>
      <c r="J6" t="s">
        <v>25</v>
      </c>
    </row>
    <row r="7" spans="1:10" x14ac:dyDescent="0.25">
      <c r="A7" t="s">
        <v>357</v>
      </c>
      <c r="B7" t="s">
        <v>25</v>
      </c>
      <c r="C7" t="s">
        <v>25</v>
      </c>
      <c r="D7" t="s">
        <v>25</v>
      </c>
      <c r="E7" t="s">
        <v>25</v>
      </c>
      <c r="F7" t="s">
        <v>25</v>
      </c>
      <c r="G7" t="s">
        <v>25</v>
      </c>
      <c r="H7" t="s">
        <v>25</v>
      </c>
      <c r="I7" t="s">
        <v>25</v>
      </c>
      <c r="J7" t="s">
        <v>25</v>
      </c>
    </row>
    <row r="8" spans="1:10" x14ac:dyDescent="0.25">
      <c r="A8" t="s">
        <v>358</v>
      </c>
      <c r="B8" t="s">
        <v>25</v>
      </c>
      <c r="C8" t="s">
        <v>25</v>
      </c>
      <c r="D8" t="s">
        <v>25</v>
      </c>
      <c r="E8" t="s">
        <v>25</v>
      </c>
      <c r="F8" t="s">
        <v>25</v>
      </c>
      <c r="G8" t="s">
        <v>25</v>
      </c>
      <c r="H8" t="s">
        <v>25</v>
      </c>
      <c r="I8" t="s">
        <v>25</v>
      </c>
      <c r="J8" t="s">
        <v>25</v>
      </c>
    </row>
    <row r="9" spans="1:10" x14ac:dyDescent="0.25">
      <c r="A9" t="s">
        <v>96</v>
      </c>
      <c r="B9" s="13">
        <f>'Income Statement'!B9/'Income Statement'!B5</f>
        <v>0.48777174889503755</v>
      </c>
      <c r="C9" s="13">
        <f>'Income Statement'!C9/'Income Statement'!C5</f>
        <v>0.4806510114547079</v>
      </c>
      <c r="D9" s="13">
        <f>'Income Statement'!D9/'Income Statement'!D5</f>
        <v>0.5082810648322109</v>
      </c>
      <c r="E9" s="13">
        <f>'Income Statement'!E9/'Income Statement'!E5</f>
        <v>0.447730278282055</v>
      </c>
      <c r="F9" t="s">
        <v>25</v>
      </c>
      <c r="G9" t="s">
        <v>25</v>
      </c>
      <c r="H9" t="s">
        <v>25</v>
      </c>
      <c r="I9" t="s">
        <v>25</v>
      </c>
      <c r="J9" t="s">
        <v>25</v>
      </c>
    </row>
    <row r="10" spans="1:10" x14ac:dyDescent="0.25">
      <c r="A10" t="s">
        <v>26</v>
      </c>
      <c r="B10" s="13">
        <f>'Income Statement'!B10/'Income Statement'!B5</f>
        <v>0.5122282511049624</v>
      </c>
      <c r="C10" s="13">
        <f>'Income Statement'!C10/'Income Statement'!C5</f>
        <v>0.5193489885452921</v>
      </c>
      <c r="D10" s="13">
        <f>'Income Statement'!D10/'Income Statement'!D5</f>
        <v>0.49171893516778914</v>
      </c>
      <c r="E10" s="13">
        <f>'Income Statement'!E10/'Income Statement'!E5</f>
        <v>0.552269721717945</v>
      </c>
      <c r="F10" t="s">
        <v>25</v>
      </c>
      <c r="G10" t="s">
        <v>25</v>
      </c>
      <c r="H10" t="s">
        <v>25</v>
      </c>
      <c r="I10" t="s">
        <v>25</v>
      </c>
      <c r="J10" t="s">
        <v>25</v>
      </c>
    </row>
    <row r="11" spans="1:10" x14ac:dyDescent="0.25">
      <c r="A11" t="s">
        <v>359</v>
      </c>
      <c r="B11" s="13">
        <f>'Income Statement'!B12/'Income Statement'!B5</f>
        <v>0.2618275899241798</v>
      </c>
      <c r="C11" s="13">
        <f>'Income Statement'!C12/'Income Statement'!C5</f>
        <v>0.2636183008627702</v>
      </c>
      <c r="D11" s="13">
        <f>'Income Statement'!D12/'Income Statement'!D5</f>
        <v>0.2634332456571379</v>
      </c>
      <c r="E11" s="13">
        <f>'Income Statement'!E12/'Income Statement'!E5</f>
        <v>0.24984713683741522</v>
      </c>
      <c r="F11" t="s">
        <v>25</v>
      </c>
      <c r="G11" t="s">
        <v>25</v>
      </c>
      <c r="H11" t="s">
        <v>25</v>
      </c>
      <c r="I11" t="s">
        <v>25</v>
      </c>
      <c r="J11" t="s">
        <v>25</v>
      </c>
    </row>
    <row r="12" spans="1:10" x14ac:dyDescent="0.25">
      <c r="A12" t="s">
        <v>360</v>
      </c>
      <c r="B12" s="13">
        <f>'Income Statement'!B13/'Income Statement'!B5</f>
        <v>0.25040066118078264</v>
      </c>
      <c r="C12" s="13">
        <f>'Income Statement'!C13/'Income Statement'!C5</f>
        <v>0.2557306876825219</v>
      </c>
      <c r="D12" s="13">
        <f>'Income Statement'!D13/'Income Statement'!D5</f>
        <v>0.2282856895106512</v>
      </c>
      <c r="E12" s="13">
        <f>'Income Statement'!E13/'Income Statement'!E5</f>
        <v>0.30242258488052975</v>
      </c>
      <c r="F12" t="s">
        <v>25</v>
      </c>
      <c r="G12" t="s">
        <v>25</v>
      </c>
      <c r="H12" t="s">
        <v>25</v>
      </c>
      <c r="I12" t="s">
        <v>25</v>
      </c>
      <c r="J12" t="s">
        <v>25</v>
      </c>
    </row>
    <row r="13" spans="1:10" x14ac:dyDescent="0.25">
      <c r="A13" t="s">
        <v>361</v>
      </c>
      <c r="B13" s="13">
        <f>'Income Statement'!B15/'Income Statement'!B5</f>
        <v>0.007323295842466492</v>
      </c>
      <c r="C13" s="13">
        <f>'Income Statement'!C15/'Income Statement'!C5</f>
        <v>-0.020189089357389552</v>
      </c>
      <c r="D13" s="13">
        <f>'Income Statement'!D15/'Income Statement'!D5</f>
        <v>0.11944388241755065</v>
      </c>
      <c r="E13" s="13">
        <f>'Income Statement'!E15/'Income Statement'!E5</f>
        <v>0.013864333350713125</v>
      </c>
      <c r="F13" t="s">
        <v>25</v>
      </c>
      <c r="G13" t="s">
        <v>25</v>
      </c>
      <c r="H13" t="s">
        <v>25</v>
      </c>
      <c r="I13" t="s">
        <v>25</v>
      </c>
      <c r="J13" t="s">
        <v>25</v>
      </c>
    </row>
    <row r="14" spans="1:10" x14ac:dyDescent="0.25">
      <c r="A14" t="s">
        <v>362</v>
      </c>
      <c r="B14" s="13">
        <f>'Income Statement'!B16/'Income Statement'!B5</f>
        <v>0.1387042294009846</v>
      </c>
      <c r="C14" s="13">
        <f>'Income Statement'!C16/'Income Statement'!C5</f>
        <v>0.1510047872411356</v>
      </c>
      <c r="D14" s="13">
        <f>'Income Statement'!D16/'Income Statement'!D5</f>
        <v>0.1257565684885973</v>
      </c>
      <c r="E14" s="13">
        <f>'Income Statement'!E16/'Income Statement'!E5</f>
        <v>0.10216947192294748</v>
      </c>
      <c r="F14" t="s">
        <v>25</v>
      </c>
      <c r="G14" t="s">
        <v>25</v>
      </c>
      <c r="H14" t="s">
        <v>25</v>
      </c>
      <c r="I14" t="s">
        <v>25</v>
      </c>
      <c r="J14" t="s">
        <v>25</v>
      </c>
    </row>
    <row r="15" spans="1:10" x14ac:dyDescent="0.25">
      <c r="A15" t="s">
        <v>105</v>
      </c>
      <c r="B15" s="13">
        <f>'Income Statement'!B18/'Income Statement'!B5</f>
        <v>0.11901972762226454</v>
      </c>
      <c r="C15" s="13">
        <f>'Income Statement'!C18/'Income Statement'!C5</f>
        <v>0.08453681108399674</v>
      </c>
      <c r="D15" s="13">
        <f>'Income Statement'!D18/'Income Statement'!D5</f>
        <v>0.22197300343960458</v>
      </c>
      <c r="E15" s="13">
        <f>'Income Statement'!E18/'Income Statement'!E5</f>
        <v>0.21411744630829538</v>
      </c>
      <c r="F15" t="s">
        <v>25</v>
      </c>
      <c r="G15" t="s">
        <v>25</v>
      </c>
      <c r="H15" t="s">
        <v>25</v>
      </c>
      <c r="I15" t="s">
        <v>25</v>
      </c>
      <c r="J15" t="s">
        <v>25</v>
      </c>
    </row>
    <row r="16" spans="1:10" x14ac:dyDescent="0.25">
      <c r="A16" t="s">
        <v>363</v>
      </c>
      <c r="B16" s="13">
        <f>'Income Statement'!B19/'Income Statement'!B5</f>
        <v>0.030945416651694275</v>
      </c>
      <c r="C16" s="13">
        <f>'Income Statement'!C19/'Income Statement'!C5</f>
        <v>0.027051912896214215</v>
      </c>
      <c r="D16" s="13">
        <f>'Income Statement'!D19/'Income Statement'!D5</f>
        <v>0.004439691302714108</v>
      </c>
      <c r="E16" s="13">
        <f>'Income Statement'!E19/'Income Statement'!E5</f>
        <v>0.05352959857422514</v>
      </c>
      <c r="F16" t="s">
        <v>25</v>
      </c>
      <c r="G16" t="s">
        <v>25</v>
      </c>
      <c r="H16" t="s">
        <v>25</v>
      </c>
      <c r="I16" t="s">
        <v>25</v>
      </c>
      <c r="J16" t="s">
        <v>25</v>
      </c>
    </row>
    <row r="17" spans="1:10" x14ac:dyDescent="0.25">
      <c r="A17" t="s">
        <v>28</v>
      </c>
      <c r="B17" s="13">
        <f>'Income Statement'!B20/'Income Statement'!B5</f>
        <v>0.08830356822020195</v>
      </c>
      <c r="C17" s="13">
        <f>'Income Statement'!C20/'Income Statement'!C5</f>
        <v>0.05706018055499993</v>
      </c>
      <c r="D17" s="13">
        <f>'Income Statement'!D20/'Income Statement'!D5</f>
        <v>0.21667196577737954</v>
      </c>
      <c r="E17" s="13">
        <f>'Income Statement'!E20/'Income Statement'!E5</f>
        <v>0.16031909296450256</v>
      </c>
      <c r="F17" t="s">
        <v>25</v>
      </c>
      <c r="G17" t="s">
        <v>25</v>
      </c>
      <c r="H17" t="s">
        <v>25</v>
      </c>
      <c r="I17" t="s">
        <v>25</v>
      </c>
      <c r="J17" t="s">
        <v>25</v>
      </c>
    </row>
    <row r="19" spans="1:10" x14ac:dyDescent="0.25">
      <c r="A19" s="3" t="s">
        <v>364</v>
      </c>
      <c r="B19" s="4"/>
      <c r="C19" s="4"/>
      <c r="D19" s="4"/>
      <c r="E19" s="4"/>
      <c r="F19" s="4"/>
      <c r="G19" s="4"/>
      <c r="H19" s="4"/>
      <c r="I19" s="4"/>
      <c r="J19" s="4"/>
    </row>
    <row r="20" spans="1:10" x14ac:dyDescent="0.25">
      <c r="A20" s="9" t="s">
        <v>365</v>
      </c>
      <c r="B20" s="10" t="s">
        <v>14</v>
      </c>
      <c r="C20" s="10" t="s">
        <v>15</v>
      </c>
      <c r="D20" s="10" t="s">
        <v>16</v>
      </c>
      <c r="E20" s="10" t="s">
        <v>17</v>
      </c>
      <c r="F20" s="10" t="s">
        <v>18</v>
      </c>
      <c r="G20" s="10" t="s">
        <v>19</v>
      </c>
      <c r="H20" s="10" t="s">
        <v>20</v>
      </c>
      <c r="I20" s="10" t="s">
        <v>21</v>
      </c>
      <c r="J20" s="10" t="s">
        <v>22</v>
      </c>
    </row>
    <row r="21" spans="1:10" x14ac:dyDescent="0.25">
      <c r="A21" t="s">
        <v>366</v>
      </c>
      <c r="B21" s="13">
        <f>'Balance Sheet'!B6/'Balance Sheet'!B18</f>
        <v>0.03018510562200123</v>
      </c>
      <c r="C21" s="13">
        <f>'Balance Sheet'!C6/'Balance Sheet'!C18</f>
        <v>0.036966736723986975</v>
      </c>
      <c r="D21" s="13">
        <f>'Balance Sheet'!D6/'Balance Sheet'!D18</f>
        <v>0.033108517522564086</v>
      </c>
      <c r="E21" s="13">
        <f>'Balance Sheet'!E6/'Balance Sheet'!E18</f>
        <v>0.055699493740980946</v>
      </c>
      <c r="F21" t="s">
        <v>25</v>
      </c>
      <c r="G21" t="s">
        <v>25</v>
      </c>
      <c r="H21" t="s">
        <v>25</v>
      </c>
      <c r="I21" t="s">
        <v>25</v>
      </c>
      <c r="J21" t="s">
        <v>25</v>
      </c>
    </row>
    <row r="22" spans="1:10" x14ac:dyDescent="0.25">
      <c r="A22" t="s">
        <v>367</v>
      </c>
      <c r="B22" s="13">
        <f>'Balance Sheet'!B8/'Balance Sheet'!B18</f>
        <v>0.008957231581102086</v>
      </c>
      <c r="C22" s="13">
        <f>'Balance Sheet'!C8/'Balance Sheet'!C18</f>
        <v>0.010696372780355595</v>
      </c>
      <c r="D22" s="13">
        <f>'Balance Sheet'!D8/'Balance Sheet'!D18</f>
        <v>0.01476418101963145</v>
      </c>
      <c r="E22" s="13">
        <f>'Balance Sheet'!E8/'Balance Sheet'!E18</f>
        <v>0.014628520297117753</v>
      </c>
      <c r="F22" t="s">
        <v>25</v>
      </c>
      <c r="G22" t="s">
        <v>25</v>
      </c>
      <c r="H22" t="s">
        <v>25</v>
      </c>
      <c r="I22" t="s">
        <v>25</v>
      </c>
      <c r="J22" t="s">
        <v>25</v>
      </c>
    </row>
    <row r="23" spans="1:10" x14ac:dyDescent="0.25">
      <c r="A23" t="s">
        <v>368</v>
      </c>
      <c r="B23" s="13">
        <f>'Balance Sheet'!B9/'Balance Sheet'!B18</f>
        <v>0.0005803530255962678</v>
      </c>
      <c r="C23" s="13">
        <f>'Balance Sheet'!C9/'Balance Sheet'!C18</f>
        <v>0.0008234940127008115</v>
      </c>
      <c r="D23" s="13">
        <f>'Balance Sheet'!D9/'Balance Sheet'!D18</f>
        <v>0.0008950388708252971</v>
      </c>
      <c r="E23" s="13">
        <f>'Balance Sheet'!E9/'Balance Sheet'!E18</f>
        <v>0.0011019980820465992</v>
      </c>
      <c r="F23" t="s">
        <v>25</v>
      </c>
      <c r="G23" t="s">
        <v>25</v>
      </c>
      <c r="H23" t="s">
        <v>25</v>
      </c>
      <c r="I23" t="s">
        <v>25</v>
      </c>
      <c r="J23" t="s">
        <v>25</v>
      </c>
    </row>
    <row r="24" spans="1:10" x14ac:dyDescent="0.25">
      <c r="A24" t="s">
        <v>369</v>
      </c>
      <c r="B24" t="s">
        <v>25</v>
      </c>
      <c r="C24" t="s">
        <v>25</v>
      </c>
      <c r="D24" t="s">
        <v>25</v>
      </c>
      <c r="E24" t="s">
        <v>25</v>
      </c>
      <c r="F24" t="s">
        <v>25</v>
      </c>
      <c r="G24" t="s">
        <v>25</v>
      </c>
      <c r="H24" t="s">
        <v>25</v>
      </c>
      <c r="I24" t="s">
        <v>25</v>
      </c>
      <c r="J24" t="s">
        <v>25</v>
      </c>
    </row>
    <row r="25" spans="1:10" x14ac:dyDescent="0.25">
      <c r="A25" t="s">
        <v>370</v>
      </c>
      <c r="B25" s="13">
        <f>'Balance Sheet'!B13/'Balance Sheet'!B18</f>
        <v>0.6239784774505857</v>
      </c>
      <c r="C25" s="13">
        <f>'Balance Sheet'!C13/'Balance Sheet'!C18</f>
        <v>0.6861763860829512</v>
      </c>
      <c r="D25" s="13">
        <f>'Balance Sheet'!D13/'Balance Sheet'!D18</f>
        <v>0.7692344249375255</v>
      </c>
      <c r="E25" s="13">
        <f>'Balance Sheet'!E13/'Balance Sheet'!E18</f>
        <v>0.7450625535184177</v>
      </c>
      <c r="F25" t="s">
        <v>25</v>
      </c>
      <c r="G25" t="s">
        <v>25</v>
      </c>
      <c r="H25" t="s">
        <v>25</v>
      </c>
      <c r="I25" t="s">
        <v>25</v>
      </c>
      <c r="J25" t="s">
        <v>25</v>
      </c>
    </row>
    <row r="26" spans="1:10" x14ac:dyDescent="0.25">
      <c r="A26" t="s">
        <v>371</v>
      </c>
      <c r="B26" t="s">
        <v>25</v>
      </c>
      <c r="C26" t="s">
        <v>25</v>
      </c>
      <c r="D26" t="s">
        <v>25</v>
      </c>
      <c r="E26" t="s">
        <v>25</v>
      </c>
      <c r="F26" t="s">
        <v>25</v>
      </c>
      <c r="G26" t="s">
        <v>25</v>
      </c>
      <c r="H26" t="s">
        <v>25</v>
      </c>
      <c r="I26" t="s">
        <v>25</v>
      </c>
      <c r="J26" t="s">
        <v>25</v>
      </c>
    </row>
    <row r="27" spans="1:10" x14ac:dyDescent="0.25">
      <c r="A27" t="s">
        <v>372</v>
      </c>
      <c r="B27" s="13">
        <f>'Balance Sheet'!B15/'Balance Sheet'!B18</f>
        <v>0.07412772715309848</v>
      </c>
      <c r="C27" s="13">
        <f>'Balance Sheet'!C15/'Balance Sheet'!C18</f>
        <v>0.07149466425651387</v>
      </c>
      <c r="D27" s="13">
        <f>'Balance Sheet'!D15/'Balance Sheet'!D18</f>
        <v>0.011560258689995762</v>
      </c>
      <c r="E27" s="13">
        <f>'Balance Sheet'!E15/'Balance Sheet'!E18</f>
        <v>0.034657014557009605</v>
      </c>
      <c r="F27" t="s">
        <v>25</v>
      </c>
      <c r="G27" t="s">
        <v>25</v>
      </c>
      <c r="H27" t="s">
        <v>25</v>
      </c>
      <c r="I27" t="s">
        <v>25</v>
      </c>
      <c r="J27" t="s">
        <v>25</v>
      </c>
    </row>
    <row r="28" spans="1:10" x14ac:dyDescent="0.25">
      <c r="A28" t="s">
        <v>373</v>
      </c>
      <c r="B28" s="13">
        <f>'Balance Sheet'!B18/'Balance Sheet'!B18</f>
        <v>1</v>
      </c>
      <c r="C28" s="13">
        <f>'Balance Sheet'!C18/'Balance Sheet'!C18</f>
        <v>1</v>
      </c>
      <c r="D28" s="13">
        <f>'Balance Sheet'!D18/'Balance Sheet'!D18</f>
        <v>1</v>
      </c>
      <c r="E28" s="13">
        <f>'Balance Sheet'!E18/'Balance Sheet'!E18</f>
        <v>1</v>
      </c>
      <c r="F28" t="s">
        <v>25</v>
      </c>
      <c r="G28" t="s">
        <v>25</v>
      </c>
      <c r="H28" t="s">
        <v>25</v>
      </c>
      <c r="I28" t="s">
        <v>25</v>
      </c>
      <c r="J28" t="s">
        <v>25</v>
      </c>
    </row>
    <row r="29" spans="1:10" x14ac:dyDescent="0.25">
      <c r="A29" t="s">
        <v>374</v>
      </c>
      <c r="B29" s="13">
        <f>'Balance Sheet'!B20/'Balance Sheet'!B18</f>
        <v>0.07399501076352413</v>
      </c>
      <c r="C29" s="13">
        <f>'Balance Sheet'!C20/'Balance Sheet'!C18</f>
        <v>0.07948074630276074</v>
      </c>
      <c r="D29" s="13">
        <f>'Balance Sheet'!D20/'Balance Sheet'!D18</f>
        <v>0.07555157760501856</v>
      </c>
      <c r="E29" s="13">
        <f>'Balance Sheet'!E20/'Balance Sheet'!E18</f>
        <v>0.08253983970603605</v>
      </c>
      <c r="F29" t="s">
        <v>25</v>
      </c>
      <c r="G29" t="s">
        <v>25</v>
      </c>
      <c r="H29" t="s">
        <v>25</v>
      </c>
      <c r="I29" t="s">
        <v>25</v>
      </c>
      <c r="J29" t="s">
        <v>25</v>
      </c>
    </row>
    <row r="30" spans="1:10" x14ac:dyDescent="0.25">
      <c r="A30" t="s">
        <v>375</v>
      </c>
      <c r="B30" t="s">
        <v>25</v>
      </c>
      <c r="C30" t="s">
        <v>25</v>
      </c>
      <c r="D30" t="s">
        <v>25</v>
      </c>
      <c r="E30" t="s">
        <v>25</v>
      </c>
      <c r="F30" t="s">
        <v>25</v>
      </c>
      <c r="G30" t="s">
        <v>25</v>
      </c>
      <c r="H30" t="s">
        <v>25</v>
      </c>
      <c r="I30" t="s">
        <v>25</v>
      </c>
      <c r="J30" t="s">
        <v>25</v>
      </c>
    </row>
    <row r="31" spans="1:10" x14ac:dyDescent="0.25">
      <c r="A31" t="s">
        <v>376</v>
      </c>
      <c r="B31" t="s">
        <v>25</v>
      </c>
      <c r="C31" t="s">
        <v>25</v>
      </c>
      <c r="D31" t="s">
        <v>25</v>
      </c>
      <c r="E31" t="s">
        <v>25</v>
      </c>
      <c r="F31" t="s">
        <v>25</v>
      </c>
      <c r="G31" t="s">
        <v>25</v>
      </c>
      <c r="H31" t="s">
        <v>25</v>
      </c>
      <c r="I31" t="s">
        <v>25</v>
      </c>
      <c r="J31" t="s">
        <v>25</v>
      </c>
    </row>
    <row r="32" spans="1:10" x14ac:dyDescent="0.25">
      <c r="A32" t="s">
        <v>377</v>
      </c>
      <c r="B32" t="s">
        <v>25</v>
      </c>
      <c r="C32" t="s">
        <v>25</v>
      </c>
      <c r="D32" t="s">
        <v>25</v>
      </c>
      <c r="E32" t="s">
        <v>25</v>
      </c>
      <c r="F32" t="s">
        <v>25</v>
      </c>
      <c r="G32" t="s">
        <v>25</v>
      </c>
      <c r="H32" t="s">
        <v>25</v>
      </c>
      <c r="I32" t="s">
        <v>25</v>
      </c>
      <c r="J32" t="s">
        <v>25</v>
      </c>
    </row>
    <row r="33" spans="1:10" x14ac:dyDescent="0.25">
      <c r="A33" t="s">
        <v>378</v>
      </c>
      <c r="B33" t="s">
        <v>25</v>
      </c>
      <c r="C33" t="s">
        <v>25</v>
      </c>
      <c r="D33" t="s">
        <v>25</v>
      </c>
      <c r="E33" t="s">
        <v>25</v>
      </c>
      <c r="F33" t="s">
        <v>25</v>
      </c>
      <c r="G33" t="s">
        <v>25</v>
      </c>
      <c r="H33" t="s">
        <v>25</v>
      </c>
      <c r="I33" t="s">
        <v>25</v>
      </c>
      <c r="J33" t="s">
        <v>25</v>
      </c>
    </row>
    <row r="35" spans="1:10" x14ac:dyDescent="0.25">
      <c r="A35" s="3" t="s">
        <v>379</v>
      </c>
      <c r="B35" s="4"/>
      <c r="C35" s="4"/>
      <c r="D35" s="4"/>
      <c r="E35" s="4"/>
      <c r="F35" s="4"/>
      <c r="G35" s="4"/>
      <c r="H35" s="4"/>
      <c r="I35" s="4"/>
      <c r="J35" s="4"/>
    </row>
    <row r="36" spans="1:10" x14ac:dyDescent="0.25">
      <c r="A36" s="9"/>
      <c r="B36" s="10" t="s">
        <v>14</v>
      </c>
      <c r="C36" s="10" t="s">
        <v>15</v>
      </c>
      <c r="D36" s="10" t="s">
        <v>16</v>
      </c>
      <c r="E36" s="10" t="s">
        <v>17</v>
      </c>
      <c r="F36" s="10" t="s">
        <v>380</v>
      </c>
      <c r="G36" s="10" t="s">
        <v>381</v>
      </c>
      <c r="H36" s="10" t="s">
        <v>382</v>
      </c>
      <c r="I36" s="10" t="s">
        <v>383</v>
      </c>
      <c r="J36" s="10" t="s">
        <v>384</v>
      </c>
    </row>
    <row r="37" spans="1:10" x14ac:dyDescent="0.25">
      <c r="A37" t="s">
        <v>32</v>
      </c>
      <c r="B37" s="13">
        <v>0.1584131609143535</v>
      </c>
      <c r="C37" s="13">
        <v>0.10725520422102744</v>
      </c>
      <c r="D37" s="13">
        <v>0.38306309436816205</v>
      </c>
      <c r="E37" s="13">
        <v>0.2574744318289949</v>
      </c>
      <c r="F37" t="s">
        <v>25</v>
      </c>
      <c r="G37" t="s">
        <v>25</v>
      </c>
      <c r="H37" t="s">
        <v>25</v>
      </c>
      <c r="I37" t="s">
        <v>25</v>
      </c>
      <c r="J37" t="s">
        <v>25</v>
      </c>
    </row>
    <row r="38" spans="1:10" x14ac:dyDescent="0.25">
      <c r="A38" t="s">
        <v>385</v>
      </c>
      <c r="B38" s="13">
        <v>0.02763875048643931</v>
      </c>
      <c r="C38" s="13">
        <v>0.019305733518615437</v>
      </c>
      <c r="D38" s="13">
        <v>0.07915524933343893</v>
      </c>
      <c r="E38" s="13">
        <v>0.06440151602421602</v>
      </c>
      <c r="F38" t="s">
        <v>25</v>
      </c>
      <c r="G38" t="s">
        <v>25</v>
      </c>
      <c r="H38" t="s">
        <v>25</v>
      </c>
      <c r="I38" t="s">
        <v>25</v>
      </c>
      <c r="J38" t="s">
        <v>25</v>
      </c>
    </row>
    <row r="39" spans="1:10" x14ac:dyDescent="0.25">
      <c r="A39" t="s">
        <v>386</v>
      </c>
      <c r="B39" t="s">
        <v>25</v>
      </c>
      <c r="C39" t="s">
        <v>25</v>
      </c>
      <c r="D39" t="s">
        <v>25</v>
      </c>
      <c r="E39" t="s">
        <v>25</v>
      </c>
      <c r="F39" t="s">
        <v>25</v>
      </c>
      <c r="G39" t="s">
        <v>25</v>
      </c>
      <c r="H39" t="s">
        <v>25</v>
      </c>
      <c r="I39" t="s">
        <v>25</v>
      </c>
      <c r="J39" t="s">
        <v>25</v>
      </c>
    </row>
    <row r="40" spans="1:10" x14ac:dyDescent="0.25">
      <c r="A40" t="s">
        <v>387</v>
      </c>
      <c r="B40" t="s">
        <v>25</v>
      </c>
      <c r="C40" t="s">
        <v>25</v>
      </c>
      <c r="D40" t="s">
        <v>25</v>
      </c>
      <c r="E40" t="s">
        <v>25</v>
      </c>
      <c r="F40" t="s">
        <v>25</v>
      </c>
      <c r="G40" t="s">
        <v>25</v>
      </c>
      <c r="H40" t="s">
        <v>25</v>
      </c>
      <c r="I40" t="s">
        <v>25</v>
      </c>
      <c r="J40" t="s">
        <v>25</v>
      </c>
    </row>
    <row r="41" spans="1:10" x14ac:dyDescent="0.25">
      <c r="A41" t="s">
        <v>388</v>
      </c>
      <c r="B41" s="13">
        <v>0.08830356822020195</v>
      </c>
      <c r="C41" s="13">
        <v>0.05706018055499993</v>
      </c>
      <c r="D41" s="13">
        <v>0.21667196577737954</v>
      </c>
      <c r="E41" s="13">
        <v>0.16031909296450256</v>
      </c>
      <c r="F41" t="s">
        <v>25</v>
      </c>
      <c r="G41" t="s">
        <v>25</v>
      </c>
      <c r="H41" t="s">
        <v>25</v>
      </c>
      <c r="I41" t="s">
        <v>25</v>
      </c>
      <c r="J41" t="s">
        <v>25</v>
      </c>
    </row>
    <row r="42" spans="1:10" x14ac:dyDescent="0.25">
      <c r="A42" t="s">
        <v>389</v>
      </c>
      <c r="B42" s="30">
        <v>0.3129969835139251</v>
      </c>
      <c r="C42" s="30">
        <v>0.3383398603165437</v>
      </c>
      <c r="D42" s="30">
        <v>0.365322985137668</v>
      </c>
      <c r="E42" s="30">
        <v>0.40170833575309484</v>
      </c>
      <c r="F42" t="s">
        <v>25</v>
      </c>
      <c r="G42" t="s">
        <v>25</v>
      </c>
      <c r="H42" t="s">
        <v>25</v>
      </c>
      <c r="I42" t="s">
        <v>25</v>
      </c>
      <c r="J42" t="s">
        <v>25</v>
      </c>
    </row>
    <row r="43" spans="1:10" x14ac:dyDescent="0.25">
      <c r="A43" t="s">
        <v>390</v>
      </c>
      <c r="B43" s="30">
        <v>5.731560151102975</v>
      </c>
      <c r="C43" s="30">
        <v>5.555614041683899</v>
      </c>
      <c r="D43" s="30">
        <v>4.839389650009454</v>
      </c>
      <c r="E43" s="30">
        <v>3.997956068800932</v>
      </c>
      <c r="F43" t="s">
        <v>25</v>
      </c>
      <c r="G43" t="s">
        <v>25</v>
      </c>
      <c r="H43" t="s">
        <v>25</v>
      </c>
      <c r="I43" t="s">
        <v>25</v>
      </c>
      <c r="J43" t="s">
        <v>25</v>
      </c>
    </row>
    <row r="44" spans="1:10" x14ac:dyDescent="0.25">
      <c r="A44" s="5" t="s">
        <v>391</v>
      </c>
      <c r="B44" s="7">
        <f>B41*B42*B43</f>
        <v>0.1584131609143535</v>
      </c>
      <c r="C44" s="7">
        <f>C41*C42*C43</f>
        <v>0.10725520422102744</v>
      </c>
      <c r="D44" s="7">
        <f>D41*D42*D43</f>
        <v>0.38306309436816205</v>
      </c>
      <c r="E44" s="7">
        <f>E41*E42*E43</f>
        <v>0.2574744318289949</v>
      </c>
      <c r="F44" t="s">
        <v>25</v>
      </c>
      <c r="G44" t="s">
        <v>25</v>
      </c>
      <c r="H44" t="s">
        <v>25</v>
      </c>
      <c r="I44" t="s">
        <v>25</v>
      </c>
      <c r="J44" t="s">
        <v>25</v>
      </c>
    </row>
    <row r="46" spans="1:8" x14ac:dyDescent="0.25">
      <c r="A46" s="3" t="s">
        <v>392</v>
      </c>
      <c r="B46" s="4"/>
      <c r="C46" s="4"/>
      <c r="D46" s="4"/>
      <c r="E46" s="4"/>
      <c r="F46" s="4"/>
      <c r="G46" s="4"/>
      <c r="H46" s="4"/>
    </row>
    <row r="47" spans="1:3" x14ac:dyDescent="0.25">
      <c r="A47" s="5" t="s">
        <v>393</v>
      </c>
      <c r="B47" t="s">
        <v>25</v>
      </c>
      <c r="C47" s="2" t="s">
        <v>394</v>
      </c>
    </row>
    <row r="48" spans="1:3" x14ac:dyDescent="0.25">
      <c r="A48" s="5" t="s">
        <v>395</v>
      </c>
      <c r="B48" t="s">
        <v>25</v>
      </c>
      <c r="C48" s="2" t="s">
        <v>25</v>
      </c>
    </row>
    <row r="49" spans="1:3" x14ac:dyDescent="0.25">
      <c r="A49" s="5" t="s">
        <v>396</v>
      </c>
      <c r="B49" t="s">
        <v>25</v>
      </c>
      <c r="C49" s="2" t="s">
        <v>397</v>
      </c>
    </row>
    <row r="50" spans="1:1" x14ac:dyDescent="0.25">
      <c r="A50" s="2" t="s">
        <v>398</v>
      </c>
    </row>
    <row r="52" spans="1:8" x14ac:dyDescent="0.25">
      <c r="A52" s="3" t="s">
        <v>399</v>
      </c>
      <c r="B52" s="4"/>
      <c r="C52" s="4"/>
      <c r="D52" s="4"/>
      <c r="E52" s="4"/>
      <c r="F52" s="4"/>
      <c r="G52" s="4"/>
      <c r="H52" s="4"/>
    </row>
    <row r="53" spans="1:5" x14ac:dyDescent="0.25">
      <c r="A53" s="9" t="s">
        <v>400</v>
      </c>
      <c r="B53" s="10" t="s">
        <v>401</v>
      </c>
      <c r="C53" s="10" t="s">
        <v>402</v>
      </c>
      <c r="D53" s="10" t="s">
        <v>403</v>
      </c>
      <c r="E53" s="10" t="s">
        <v>404</v>
      </c>
    </row>
    <row r="54" spans="1:5" x14ac:dyDescent="0.25">
      <c r="A54" t="s">
        <v>405</v>
      </c>
      <c r="B54" s="30">
        <v>3.959</v>
      </c>
      <c r="C54" s="5" t="s">
        <v>406</v>
      </c>
      <c r="D54" t="s">
        <v>407</v>
      </c>
      <c r="E54" t="s">
        <v>408</v>
      </c>
    </row>
    <row r="55" spans="1:5" x14ac:dyDescent="0.25">
      <c r="A55" t="s">
        <v>409</v>
      </c>
      <c r="B55" s="30">
        <v>-0.168</v>
      </c>
      <c r="C55" s="5" t="s">
        <v>406</v>
      </c>
      <c r="D55" t="s">
        <v>410</v>
      </c>
      <c r="E55" t="s">
        <v>411</v>
      </c>
    </row>
    <row r="56" spans="1:5" x14ac:dyDescent="0.25">
      <c r="A56" t="s">
        <v>412</v>
      </c>
      <c r="B56" s="30">
        <v>0.112</v>
      </c>
      <c r="C56" s="5" t="s">
        <v>413</v>
      </c>
      <c r="D56" t="s">
        <v>414</v>
      </c>
      <c r="E56" t="s">
        <v>415</v>
      </c>
    </row>
    <row r="57" spans="1:5" x14ac:dyDescent="0.25">
      <c r="A57" t="s">
        <v>416</v>
      </c>
      <c r="B57" s="30">
        <v>0.177</v>
      </c>
      <c r="C57" s="5" t="s">
        <v>413</v>
      </c>
      <c r="D57" t="s">
        <v>417</v>
      </c>
      <c r="E57" t="s">
        <v>418</v>
      </c>
    </row>
    <row r="58" spans="1:5" x14ac:dyDescent="0.25">
      <c r="A58" t="s">
        <v>419</v>
      </c>
      <c r="B58" s="30">
        <v>0.065</v>
      </c>
      <c r="C58" s="5" t="s">
        <v>406</v>
      </c>
      <c r="D58" t="s">
        <v>420</v>
      </c>
      <c r="E58" t="s">
        <v>421</v>
      </c>
    </row>
    <row r="59" spans="1:5" x14ac:dyDescent="0.25">
      <c r="A59" t="s">
        <v>422</v>
      </c>
      <c r="B59" t="s">
        <v>25</v>
      </c>
      <c r="C59" s="5" t="s">
        <v>423</v>
      </c>
      <c r="D59" t="s">
        <v>424</v>
      </c>
      <c r="E59" t="s">
        <v>425</v>
      </c>
    </row>
    <row r="60" spans="1:5" x14ac:dyDescent="0.25">
      <c r="A60" t="s">
        <v>426</v>
      </c>
      <c r="B60" t="s">
        <v>25</v>
      </c>
      <c r="C60" s="5" t="s">
        <v>423</v>
      </c>
      <c r="D60" t="s">
        <v>427</v>
      </c>
      <c r="E60" t="s">
        <v>428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xSplit="1" ySplit="3" topLeftCell="B4" activePane="bottomRight" state="frozen"/>
      <selection pane="bottomRight"/>
    </sheetView>
  </sheetViews>
  <sheetFormatPr defaultRowHeight="15" outlineLevelRow="0" outlineLevelCol="0" x14ac:dyDescent="55"/>
  <cols>
    <col min="1" max="1" width="64" customWidth="1"/>
    <col min="2" max="11" width="14" customWidth="1"/>
  </cols>
  <sheetData>
    <row r="1" spans="1:1" x14ac:dyDescent="0.25">
      <c r="A1" s="1" t="s">
        <v>429</v>
      </c>
    </row>
    <row r="2" spans="1:1" x14ac:dyDescent="0.25">
      <c r="A2" s="2" t="s">
        <v>430</v>
      </c>
    </row>
    <row r="4" spans="1:10" x14ac:dyDescent="0.25">
      <c r="A4" s="3" t="s">
        <v>431</v>
      </c>
      <c r="B4" s="4"/>
      <c r="C4" s="4"/>
      <c r="D4" s="4"/>
      <c r="E4" s="4"/>
      <c r="F4" s="4"/>
      <c r="G4" s="4"/>
      <c r="H4" s="4"/>
      <c r="I4" s="4"/>
      <c r="J4" s="4"/>
    </row>
    <row r="5" spans="1:10" x14ac:dyDescent="0.25">
      <c r="A5" s="9"/>
      <c r="B5" s="10" t="s">
        <v>14</v>
      </c>
      <c r="C5" s="10" t="s">
        <v>15</v>
      </c>
      <c r="D5" s="10" t="s">
        <v>16</v>
      </c>
      <c r="E5" s="10" t="s">
        <v>17</v>
      </c>
      <c r="F5" s="10" t="s">
        <v>18</v>
      </c>
      <c r="G5" s="10" t="s">
        <v>19</v>
      </c>
      <c r="H5" s="10" t="s">
        <v>20</v>
      </c>
      <c r="I5" s="10" t="s">
        <v>21</v>
      </c>
      <c r="J5" s="10" t="s">
        <v>22</v>
      </c>
    </row>
    <row r="6" spans="1:10" x14ac:dyDescent="0.25">
      <c r="A6" t="s">
        <v>432</v>
      </c>
      <c r="B6" s="29">
        <f>'Balance Sheet'!B13</f>
        <v>277394</v>
      </c>
      <c r="C6" s="29">
        <f>'Balance Sheet'!C13</f>
        <v>303303</v>
      </c>
      <c r="D6" s="29">
        <f>'Balance Sheet'!D13</f>
        <v>388468</v>
      </c>
      <c r="E6" s="29">
        <f>'Balance Sheet'!E13</f>
        <v>406337</v>
      </c>
      <c r="F6" t="s">
        <v>25</v>
      </c>
      <c r="G6" t="s">
        <v>25</v>
      </c>
      <c r="H6" t="s">
        <v>25</v>
      </c>
      <c r="I6" t="s">
        <v>25</v>
      </c>
      <c r="J6" t="s">
        <v>25</v>
      </c>
    </row>
    <row r="7" spans="1:10" x14ac:dyDescent="0.25">
      <c r="A7" t="s">
        <v>433</v>
      </c>
      <c r="B7" s="29">
        <f>ABS('Cash Flow'!B15)</f>
        <v>26538</v>
      </c>
      <c r="C7" s="29">
        <f>ABS('Cash Flow'!C15)</f>
        <v>40052</v>
      </c>
      <c r="D7" s="29">
        <f>ABS('Cash Flow'!D15)</f>
        <v>39680</v>
      </c>
      <c r="E7" s="29">
        <f>ABS('Cash Flow'!E15)</f>
        <v>46714</v>
      </c>
      <c r="F7" t="s">
        <v>25</v>
      </c>
      <c r="G7" t="s">
        <v>25</v>
      </c>
      <c r="H7" t="s">
        <v>25</v>
      </c>
      <c r="I7" t="s">
        <v>25</v>
      </c>
      <c r="J7" t="s">
        <v>25</v>
      </c>
    </row>
    <row r="8" spans="1:10" x14ac:dyDescent="0.25">
      <c r="A8" t="s">
        <v>359</v>
      </c>
      <c r="B8" s="29">
        <f>'Income Statement'!B12</f>
        <v>36432</v>
      </c>
      <c r="C8" s="29">
        <f>'Income Statement'!C12</f>
        <v>39538</v>
      </c>
      <c r="D8" s="29">
        <f>'Income Statement'!D12</f>
        <v>45570</v>
      </c>
      <c r="E8" s="29">
        <f>'Income Statement'!E12</f>
        <v>52711</v>
      </c>
      <c r="F8" t="s">
        <v>25</v>
      </c>
      <c r="G8" t="s">
        <v>25</v>
      </c>
      <c r="H8" t="s">
        <v>25</v>
      </c>
      <c r="I8" t="s">
        <v>25</v>
      </c>
      <c r="J8" t="s">
        <v>25</v>
      </c>
    </row>
    <row r="9" spans="1:10" x14ac:dyDescent="0.25">
      <c r="A9" t="s">
        <v>434</v>
      </c>
      <c r="B9" s="13">
        <f>B7/'Income Statement'!B5</f>
        <v>0.19072190880017248</v>
      </c>
      <c r="C9" s="13">
        <f>C7/'Income Statement'!C5</f>
        <v>0.2670453787787868</v>
      </c>
      <c r="D9" s="13">
        <f>D7/'Income Statement'!D5</f>
        <v>0.22938405064022893</v>
      </c>
      <c r="E9" s="13">
        <f>E7/'Income Statement'!E5</f>
        <v>0.2214216985111839</v>
      </c>
      <c r="F9" t="s">
        <v>25</v>
      </c>
      <c r="G9" t="s">
        <v>25</v>
      </c>
      <c r="H9" t="s">
        <v>25</v>
      </c>
      <c r="I9" t="s">
        <v>25</v>
      </c>
      <c r="J9" t="s">
        <v>25</v>
      </c>
    </row>
    <row r="10" spans="1:10" x14ac:dyDescent="0.25">
      <c r="A10" t="s">
        <v>435</v>
      </c>
      <c r="B10" s="37">
        <f>B7/B8</f>
        <v>0.7284255599472991</v>
      </c>
      <c r="C10" s="37">
        <f>C7/C8</f>
        <v>1.0130001517527443</v>
      </c>
      <c r="D10" s="37">
        <f>D7/D8</f>
        <v>0.8707482993197279</v>
      </c>
      <c r="E10" s="37">
        <f>E7/E8</f>
        <v>0.886228680920491</v>
      </c>
      <c r="F10" t="s">
        <v>25</v>
      </c>
      <c r="G10" t="s">
        <v>25</v>
      </c>
      <c r="H10" t="s">
        <v>25</v>
      </c>
      <c r="I10" t="s">
        <v>25</v>
      </c>
      <c r="J10" t="s">
        <v>25</v>
      </c>
    </row>
    <row r="11" spans="1:10" x14ac:dyDescent="0.25">
      <c r="A11" t="s">
        <v>436</v>
      </c>
      <c r="B11" t="s">
        <v>25</v>
      </c>
      <c r="C11" s="13">
        <f>C8/B6</f>
        <v>0.14253372459389893</v>
      </c>
      <c r="D11" s="13">
        <f>D8/C6</f>
        <v>0.15024579381015024</v>
      </c>
      <c r="E11" s="13">
        <f>E8/D6</f>
        <v>0.1356894261560798</v>
      </c>
      <c r="F11" t="s">
        <v>25</v>
      </c>
      <c r="G11" t="s">
        <v>25</v>
      </c>
      <c r="H11" t="s">
        <v>25</v>
      </c>
      <c r="I11" t="s">
        <v>25</v>
      </c>
      <c r="J11" t="s">
        <v>25</v>
      </c>
    </row>
    <row r="12" spans="1:10" x14ac:dyDescent="0.25">
      <c r="A12" t="s">
        <v>437</v>
      </c>
      <c r="B12" s="29">
        <v>26538</v>
      </c>
      <c r="C12" s="29">
        <v>39538</v>
      </c>
      <c r="D12" s="29">
        <v>39680</v>
      </c>
      <c r="E12" s="29">
        <v>46714</v>
      </c>
      <c r="F12" t="s">
        <v>25</v>
      </c>
      <c r="G12" t="s">
        <v>25</v>
      </c>
      <c r="H12" t="s">
        <v>25</v>
      </c>
      <c r="I12" t="s">
        <v>25</v>
      </c>
      <c r="J12" t="s">
        <v>25</v>
      </c>
    </row>
    <row r="13" spans="1:10" x14ac:dyDescent="0.25">
      <c r="A13" t="s">
        <v>438</v>
      </c>
      <c r="B13" s="29">
        <v>0</v>
      </c>
      <c r="C13" s="29">
        <v>514</v>
      </c>
      <c r="D13" s="29">
        <v>0</v>
      </c>
      <c r="E13" s="29">
        <v>0</v>
      </c>
      <c r="F13" t="s">
        <v>25</v>
      </c>
      <c r="G13" t="s">
        <v>25</v>
      </c>
      <c r="H13" t="s">
        <v>25</v>
      </c>
      <c r="I13" t="s">
        <v>25</v>
      </c>
      <c r="J13" t="s">
        <v>25</v>
      </c>
    </row>
    <row r="14" spans="1:1" x14ac:dyDescent="0.25">
      <c r="A14" s="2" t="s">
        <v>439</v>
      </c>
    </row>
    <row r="16" spans="1:10" x14ac:dyDescent="0.25">
      <c r="A16" s="3" t="s">
        <v>440</v>
      </c>
      <c r="B16" s="4"/>
      <c r="C16" s="4"/>
      <c r="D16" s="4"/>
      <c r="E16" s="4"/>
      <c r="F16" s="4"/>
      <c r="G16" s="4"/>
      <c r="H16" s="4"/>
      <c r="I16" s="4"/>
      <c r="J16" s="4"/>
    </row>
    <row r="17" spans="1:10" x14ac:dyDescent="0.25">
      <c r="A17" s="9"/>
      <c r="B17" s="10" t="s">
        <v>14</v>
      </c>
      <c r="C17" s="10" t="s">
        <v>15</v>
      </c>
      <c r="D17" s="10" t="s">
        <v>16</v>
      </c>
      <c r="E17" s="10" t="s">
        <v>17</v>
      </c>
      <c r="F17" s="10" t="s">
        <v>18</v>
      </c>
      <c r="G17" s="10" t="s">
        <v>19</v>
      </c>
      <c r="H17" s="10" t="s">
        <v>20</v>
      </c>
      <c r="I17" s="10" t="s">
        <v>21</v>
      </c>
      <c r="J17" s="10" t="s">
        <v>22</v>
      </c>
    </row>
    <row r="18" spans="1:10" x14ac:dyDescent="0.25">
      <c r="A18" t="s">
        <v>367</v>
      </c>
      <c r="B18" s="29">
        <f>'Balance Sheet'!B8</f>
        <v>3982</v>
      </c>
      <c r="C18" s="29">
        <f>'Balance Sheet'!C8</f>
        <v>4728</v>
      </c>
      <c r="D18" s="29">
        <f>'Balance Sheet'!D8</f>
        <v>7456</v>
      </c>
      <c r="E18" s="29">
        <f>'Balance Sheet'!E8</f>
        <v>7978</v>
      </c>
      <c r="F18" t="s">
        <v>25</v>
      </c>
      <c r="G18" t="s">
        <v>25</v>
      </c>
      <c r="H18" t="s">
        <v>25</v>
      </c>
      <c r="I18" t="s">
        <v>25</v>
      </c>
      <c r="J18" t="s">
        <v>25</v>
      </c>
    </row>
    <row r="19" spans="1:10" x14ac:dyDescent="0.25">
      <c r="A19" t="s">
        <v>368</v>
      </c>
      <c r="B19" s="29">
        <f>'Balance Sheet'!B9</f>
        <v>258</v>
      </c>
      <c r="C19" s="29">
        <f>'Balance Sheet'!C9</f>
        <v>364</v>
      </c>
      <c r="D19" s="29">
        <f>'Balance Sheet'!D9</f>
        <v>452</v>
      </c>
      <c r="E19" s="29">
        <f>'Balance Sheet'!E9</f>
        <v>601</v>
      </c>
      <c r="F19" t="s">
        <v>25</v>
      </c>
      <c r="G19" t="s">
        <v>25</v>
      </c>
      <c r="H19" t="s">
        <v>25</v>
      </c>
      <c r="I19" t="s">
        <v>25</v>
      </c>
      <c r="J19" t="s">
        <v>25</v>
      </c>
    </row>
    <row r="20" spans="1:10" x14ac:dyDescent="0.25">
      <c r="A20" t="s">
        <v>374</v>
      </c>
      <c r="B20" s="29">
        <f>'Balance Sheet'!B20</f>
        <v>32895</v>
      </c>
      <c r="C20" s="29">
        <f>'Balance Sheet'!C20</f>
        <v>35132</v>
      </c>
      <c r="D20" s="29">
        <f>'Balance Sheet'!D20</f>
        <v>38154</v>
      </c>
      <c r="E20" s="29">
        <f>'Balance Sheet'!E20</f>
        <v>45015</v>
      </c>
      <c r="F20" t="s">
        <v>25</v>
      </c>
      <c r="G20" t="s">
        <v>25</v>
      </c>
      <c r="H20" t="s">
        <v>25</v>
      </c>
      <c r="I20" t="s">
        <v>25</v>
      </c>
      <c r="J20" t="s">
        <v>25</v>
      </c>
    </row>
    <row r="21" spans="1:10" x14ac:dyDescent="0.25">
      <c r="A21" s="5" t="s">
        <v>441</v>
      </c>
      <c r="B21" s="11">
        <f>B18+B19-B20</f>
        <v>-28655</v>
      </c>
      <c r="C21" s="11">
        <f>C18+C19-C20</f>
        <v>-30040</v>
      </c>
      <c r="D21" s="11">
        <f>D18+D19-D20</f>
        <v>-30246</v>
      </c>
      <c r="E21" s="11">
        <f>E18+E19-E20</f>
        <v>-36436</v>
      </c>
      <c r="F21" t="s">
        <v>25</v>
      </c>
      <c r="G21" t="s">
        <v>25</v>
      </c>
      <c r="H21" t="s">
        <v>25</v>
      </c>
      <c r="I21" t="s">
        <v>25</v>
      </c>
      <c r="J21" t="s">
        <v>25</v>
      </c>
    </row>
    <row r="22" spans="1:10" x14ac:dyDescent="0.25">
      <c r="A22" t="s">
        <v>442</v>
      </c>
      <c r="B22" s="18">
        <f>B18/'Income Statement'!B5*365</f>
        <v>10.445434618563368</v>
      </c>
      <c r="C22" s="18">
        <f>C18/'Income Statement'!C5*365</f>
        <v>11.506180741689002</v>
      </c>
      <c r="D22" s="18">
        <f>D18/'Income Statement'!D5*365</f>
        <v>15.732231118305055</v>
      </c>
      <c r="E22" s="18">
        <f>E18/'Income Statement'!E5*365</f>
        <v>13.802571893085846</v>
      </c>
      <c r="F22" t="s">
        <v>25</v>
      </c>
      <c r="G22" t="s">
        <v>25</v>
      </c>
      <c r="H22" t="s">
        <v>25</v>
      </c>
      <c r="I22" t="s">
        <v>25</v>
      </c>
      <c r="J22" t="s">
        <v>25</v>
      </c>
    </row>
    <row r="23" spans="1:10" x14ac:dyDescent="0.25">
      <c r="A23" t="s">
        <v>443</v>
      </c>
      <c r="B23" s="18">
        <f>B20/'Income Statement'!B9*365</f>
        <v>176.90434795420725</v>
      </c>
      <c r="C23" s="18">
        <f>C20/'Income Statement'!C9*365</f>
        <v>177.87984297188197</v>
      </c>
      <c r="D23" s="18">
        <f>D20/'Income Statement'!D9*365</f>
        <v>158.38737560420813</v>
      </c>
      <c r="E23" s="18">
        <f>E20/'Income Statement'!E9*365</f>
        <v>173.94292761939042</v>
      </c>
      <c r="F23" t="s">
        <v>25</v>
      </c>
      <c r="G23" t="s">
        <v>25</v>
      </c>
      <c r="H23" t="s">
        <v>25</v>
      </c>
      <c r="I23" t="s">
        <v>25</v>
      </c>
      <c r="J23" t="s">
        <v>25</v>
      </c>
    </row>
    <row r="24" spans="1:10" x14ac:dyDescent="0.25">
      <c r="A24" t="s">
        <v>444</v>
      </c>
      <c r="B24" s="18">
        <f>B19/'Income Statement'!B9*365</f>
        <v>1.3874850819937823</v>
      </c>
      <c r="C24" s="18">
        <f>C19/'Income Statement'!C9*365</f>
        <v>1.8429996254629695</v>
      </c>
      <c r="D24" s="18">
        <f>D19/'Income Statement'!D9*365</f>
        <v>1.8763719078760306</v>
      </c>
      <c r="E24" s="18">
        <f>E19/'Income Statement'!E9*365</f>
        <v>2.322330323209011</v>
      </c>
      <c r="F24" t="s">
        <v>25</v>
      </c>
      <c r="G24" t="s">
        <v>25</v>
      </c>
      <c r="H24" t="s">
        <v>25</v>
      </c>
      <c r="I24" t="s">
        <v>25</v>
      </c>
      <c r="J24" t="s">
        <v>25</v>
      </c>
    </row>
    <row r="25" spans="1:1" x14ac:dyDescent="0.25">
      <c r="A25" s="2" t="s">
        <v>445</v>
      </c>
    </row>
    <row r="27" spans="1:10" x14ac:dyDescent="0.25">
      <c r="A27" s="3" t="s">
        <v>446</v>
      </c>
      <c r="B27" s="4"/>
      <c r="C27" s="4"/>
      <c r="D27" s="4"/>
      <c r="E27" s="4"/>
      <c r="F27" s="4"/>
      <c r="G27" s="4"/>
      <c r="H27" s="4"/>
      <c r="I27" s="4"/>
      <c r="J27" s="4"/>
    </row>
    <row r="28" spans="1:10" x14ac:dyDescent="0.25">
      <c r="A28" s="9"/>
      <c r="B28" s="10" t="s">
        <v>14</v>
      </c>
      <c r="C28" s="10" t="s">
        <v>15</v>
      </c>
      <c r="D28" s="10" t="s">
        <v>16</v>
      </c>
      <c r="E28" s="10" t="s">
        <v>17</v>
      </c>
      <c r="F28" s="10" t="s">
        <v>18</v>
      </c>
      <c r="G28" s="10" t="s">
        <v>19</v>
      </c>
      <c r="H28" s="10" t="s">
        <v>20</v>
      </c>
      <c r="I28" s="10" t="s">
        <v>21</v>
      </c>
      <c r="J28" s="10" t="s">
        <v>22</v>
      </c>
    </row>
    <row r="29" spans="1:10" x14ac:dyDescent="0.25">
      <c r="A29" t="s">
        <v>447</v>
      </c>
      <c r="B29" s="29">
        <f>'Cash Flow'!B13</f>
        <v>65325</v>
      </c>
      <c r="C29" s="29">
        <f>'Cash Flow'!C13</f>
        <v>78898</v>
      </c>
      <c r="D29" s="29">
        <f>'Cash Flow'!D13</f>
        <v>98332</v>
      </c>
      <c r="E29" s="29">
        <f>'Cash Flow'!E13</f>
        <v>122230</v>
      </c>
      <c r="F29" t="s">
        <v>25</v>
      </c>
      <c r="G29" t="s">
        <v>25</v>
      </c>
      <c r="H29" t="s">
        <v>25</v>
      </c>
      <c r="I29" t="s">
        <v>25</v>
      </c>
      <c r="J29" t="s">
        <v>25</v>
      </c>
    </row>
    <row r="30" spans="1:10" x14ac:dyDescent="0.25">
      <c r="A30" s="5" t="s">
        <v>448</v>
      </c>
      <c r="B30" s="11">
        <f>B29-B7</f>
        <v>38787</v>
      </c>
      <c r="C30" s="11">
        <f>C29-C7</f>
        <v>38846</v>
      </c>
      <c r="D30" s="11">
        <f>D29-D7</f>
        <v>58652</v>
      </c>
      <c r="E30" s="11">
        <f>E29-E7</f>
        <v>75516</v>
      </c>
      <c r="F30" t="s">
        <v>25</v>
      </c>
      <c r="G30" t="s">
        <v>25</v>
      </c>
      <c r="H30" t="s">
        <v>25</v>
      </c>
      <c r="I30" t="s">
        <v>25</v>
      </c>
      <c r="J30" t="s">
        <v>25</v>
      </c>
    </row>
    <row r="31" spans="1:10" x14ac:dyDescent="0.25">
      <c r="A31" t="s">
        <v>449</v>
      </c>
      <c r="B31" t="s">
        <v>25</v>
      </c>
      <c r="C31" t="s">
        <v>25</v>
      </c>
      <c r="D31" t="s">
        <v>25</v>
      </c>
      <c r="E31" t="s">
        <v>25</v>
      </c>
      <c r="F31" t="s">
        <v>25</v>
      </c>
      <c r="G31" t="s">
        <v>25</v>
      </c>
      <c r="H31" t="s">
        <v>25</v>
      </c>
      <c r="I31" t="s">
        <v>25</v>
      </c>
      <c r="J31" t="s">
        <v>25</v>
      </c>
    </row>
    <row r="32" spans="1:10" x14ac:dyDescent="0.25">
      <c r="A32" t="s">
        <v>450</v>
      </c>
      <c r="B32" t="s">
        <v>25</v>
      </c>
      <c r="C32" t="s">
        <v>25</v>
      </c>
      <c r="D32" t="s">
        <v>25</v>
      </c>
      <c r="E32" t="s">
        <v>25</v>
      </c>
      <c r="F32" t="s">
        <v>25</v>
      </c>
      <c r="G32" t="s">
        <v>25</v>
      </c>
      <c r="H32" t="s">
        <v>25</v>
      </c>
      <c r="I32" t="s">
        <v>25</v>
      </c>
      <c r="J32" t="s">
        <v>25</v>
      </c>
    </row>
    <row r="33" spans="1:10" x14ac:dyDescent="0.25">
      <c r="A33" t="s">
        <v>451</v>
      </c>
      <c r="B33" t="s">
        <v>25</v>
      </c>
      <c r="C33" t="s">
        <v>25</v>
      </c>
      <c r="D33" t="s">
        <v>25</v>
      </c>
      <c r="E33" t="s">
        <v>25</v>
      </c>
      <c r="F33" t="s">
        <v>25</v>
      </c>
      <c r="G33" t="s">
        <v>25</v>
      </c>
      <c r="H33" t="s">
        <v>25</v>
      </c>
      <c r="I33" t="s">
        <v>25</v>
      </c>
      <c r="J33" t="s">
        <v>25</v>
      </c>
    </row>
    <row r="34" spans="1:10" x14ac:dyDescent="0.25">
      <c r="A34" t="s">
        <v>452</v>
      </c>
      <c r="B34" t="s">
        <v>25</v>
      </c>
      <c r="C34" t="s">
        <v>25</v>
      </c>
      <c r="D34" t="s">
        <v>25</v>
      </c>
      <c r="E34" t="s">
        <v>25</v>
      </c>
      <c r="F34" t="s">
        <v>25</v>
      </c>
      <c r="G34" t="s">
        <v>25</v>
      </c>
      <c r="H34" t="s">
        <v>25</v>
      </c>
      <c r="I34" t="s">
        <v>25</v>
      </c>
      <c r="J34" t="s">
        <v>25</v>
      </c>
    </row>
    <row r="35" spans="1:10" x14ac:dyDescent="0.25">
      <c r="A35" t="s">
        <v>453</v>
      </c>
      <c r="B35" t="s">
        <v>25</v>
      </c>
      <c r="C35" t="s">
        <v>25</v>
      </c>
      <c r="D35" t="s">
        <v>25</v>
      </c>
      <c r="E35" t="s">
        <v>25</v>
      </c>
      <c r="F35" t="s">
        <v>25</v>
      </c>
      <c r="G35" t="s">
        <v>25</v>
      </c>
      <c r="H35" t="s">
        <v>25</v>
      </c>
      <c r="I35" t="s">
        <v>25</v>
      </c>
      <c r="J35" t="s">
        <v>25</v>
      </c>
    </row>
    <row r="36" spans="1:10" x14ac:dyDescent="0.25">
      <c r="A36" t="s">
        <v>454</v>
      </c>
      <c r="B36" t="s">
        <v>25</v>
      </c>
      <c r="C36" t="s">
        <v>25</v>
      </c>
      <c r="D36" t="s">
        <v>25</v>
      </c>
      <c r="E36" t="s">
        <v>25</v>
      </c>
      <c r="F36" t="s">
        <v>25</v>
      </c>
      <c r="G36" t="s">
        <v>25</v>
      </c>
      <c r="H36" t="s">
        <v>25</v>
      </c>
      <c r="I36" t="s">
        <v>25</v>
      </c>
      <c r="J36" t="s">
        <v>25</v>
      </c>
    </row>
    <row r="37" spans="1:10" x14ac:dyDescent="0.25">
      <c r="A37" s="5" t="s">
        <v>455</v>
      </c>
      <c r="B37" t="s">
        <v>25</v>
      </c>
      <c r="C37" t="s">
        <v>25</v>
      </c>
      <c r="D37" t="s">
        <v>25</v>
      </c>
      <c r="E37" t="s">
        <v>25</v>
      </c>
      <c r="F37" t="s">
        <v>25</v>
      </c>
      <c r="G37" t="s">
        <v>25</v>
      </c>
      <c r="H37" t="s">
        <v>25</v>
      </c>
      <c r="I37" t="s">
        <v>25</v>
      </c>
      <c r="J37" t="s">
        <v>25</v>
      </c>
    </row>
    <row r="38" spans="1:10" x14ac:dyDescent="0.25">
      <c r="A38" t="s">
        <v>456</v>
      </c>
      <c r="B38" t="s">
        <v>25</v>
      </c>
      <c r="C38" t="s">
        <v>25</v>
      </c>
      <c r="D38" t="s">
        <v>25</v>
      </c>
      <c r="E38" t="s">
        <v>25</v>
      </c>
      <c r="F38" t="s">
        <v>25</v>
      </c>
      <c r="G38" t="s">
        <v>25</v>
      </c>
      <c r="H38" t="s">
        <v>25</v>
      </c>
      <c r="I38" t="s">
        <v>25</v>
      </c>
      <c r="J38" t="s">
        <v>25</v>
      </c>
    </row>
    <row r="40" spans="1:1" x14ac:dyDescent="0.25">
      <c r="A40" s="2" t="s">
        <v>457</v>
      </c>
    </row>
    <row r="42" spans="1:8" x14ac:dyDescent="0.25">
      <c r="A42" s="3" t="s">
        <v>458</v>
      </c>
      <c r="B42" s="4"/>
      <c r="C42" s="4"/>
      <c r="D42" s="4"/>
      <c r="E42" s="4"/>
      <c r="F42" s="4"/>
      <c r="G42" s="4"/>
      <c r="H42" s="4"/>
    </row>
    <row r="43" spans="1:2" x14ac:dyDescent="0.25">
      <c r="A43" t="s">
        <v>459</v>
      </c>
      <c r="B43" t="s">
        <v>460</v>
      </c>
    </row>
    <row r="44" spans="1:2" x14ac:dyDescent="0.25">
      <c r="A44" t="s">
        <v>461</v>
      </c>
      <c r="B44" t="s">
        <v>462</v>
      </c>
    </row>
    <row r="45" spans="1:2" x14ac:dyDescent="0.25">
      <c r="A45" t="s">
        <v>463</v>
      </c>
      <c r="B45" t="s">
        <v>464</v>
      </c>
    </row>
    <row r="46" spans="1:2" x14ac:dyDescent="0.25">
      <c r="A46" t="s">
        <v>465</v>
      </c>
      <c r="B46" t="s">
        <v>466</v>
      </c>
    </row>
    <row r="47" spans="1:2" x14ac:dyDescent="0.25">
      <c r="A47" t="s">
        <v>467</v>
      </c>
      <c r="B47" t="s">
        <v>468</v>
      </c>
    </row>
    <row r="48" spans="1:2" x14ac:dyDescent="0.25">
      <c r="A48" t="s">
        <v>469</v>
      </c>
      <c r="B48" t="s">
        <v>470</v>
      </c>
    </row>
    <row r="49" spans="1:2" x14ac:dyDescent="0.25">
      <c r="A49" t="s">
        <v>471</v>
      </c>
      <c r="B49" t="s">
        <v>472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2"/>
  <sheetViews>
    <sheetView workbookViewId="0">
      <pane xSplit="1" ySplit="3" topLeftCell="B4" activePane="bottomRight" state="frozen"/>
      <selection pane="bottomRight"/>
    </sheetView>
  </sheetViews>
  <sheetFormatPr defaultRowHeight="15" outlineLevelRow="0" outlineLevelCol="0" x14ac:dyDescent="55"/>
  <cols>
    <col min="1" max="1" width="58" customWidth="1"/>
    <col min="2" max="2" width="34" customWidth="1"/>
    <col min="3" max="3" width="20" customWidth="1"/>
    <col min="4" max="5" width="18" customWidth="1"/>
    <col min="6" max="6" width="40" customWidth="1"/>
    <col min="7" max="9" width="18" customWidth="1"/>
  </cols>
  <sheetData>
    <row r="1" spans="1:1" x14ac:dyDescent="0.25">
      <c r="A1" s="1" t="s">
        <v>473</v>
      </c>
    </row>
    <row r="2" spans="1:1" x14ac:dyDescent="0.25">
      <c r="A2" s="2" t="s">
        <v>474</v>
      </c>
    </row>
    <row r="4" spans="1:1" x14ac:dyDescent="0.25">
      <c r="A4" s="5" t="s">
        <v>475</v>
      </c>
    </row>
    <row r="6" spans="1:9" x14ac:dyDescent="0.25">
      <c r="A6" s="3" t="s">
        <v>476</v>
      </c>
      <c r="B6" s="4"/>
      <c r="C6" s="4"/>
      <c r="D6" s="4"/>
      <c r="E6" s="4"/>
      <c r="F6" s="4"/>
      <c r="G6" s="4"/>
      <c r="H6" s="4"/>
      <c r="I6" s="4"/>
    </row>
    <row r="7" spans="1:1" x14ac:dyDescent="0.25">
      <c r="A7" s="2" t="s">
        <v>477</v>
      </c>
    </row>
    <row r="8" spans="1:9" x14ac:dyDescent="0.25">
      <c r="A8" s="9" t="s">
        <v>478</v>
      </c>
      <c r="B8" s="10" t="s">
        <v>479</v>
      </c>
      <c r="C8" s="10" t="s">
        <v>480</v>
      </c>
      <c r="D8" s="10" t="s">
        <v>481</v>
      </c>
      <c r="E8" s="10" t="s">
        <v>482</v>
      </c>
      <c r="F8" s="10" t="s">
        <v>483</v>
      </c>
      <c r="G8" s="10" t="s">
        <v>484</v>
      </c>
      <c r="H8" s="10" t="s">
        <v>485</v>
      </c>
      <c r="I8" s="10" t="s">
        <v>486</v>
      </c>
    </row>
    <row r="9" spans="1:9" x14ac:dyDescent="0.25">
      <c r="A9" t="s">
        <v>23</v>
      </c>
      <c r="B9" t="s">
        <v>487</v>
      </c>
      <c r="C9" t="s">
        <v>488</v>
      </c>
      <c r="D9" s="29">
        <v>139145</v>
      </c>
      <c r="E9" t="s">
        <v>489</v>
      </c>
      <c r="F9" s="29">
        <v>139144.8</v>
      </c>
      <c r="G9" t="s">
        <v>490</v>
      </c>
      <c r="H9" s="38">
        <v>0.0000014373495275550075</v>
      </c>
      <c r="I9" t="s">
        <v>491</v>
      </c>
    </row>
    <row r="10" spans="1:9" x14ac:dyDescent="0.25">
      <c r="A10" t="s">
        <v>359</v>
      </c>
      <c r="B10" t="s">
        <v>487</v>
      </c>
      <c r="C10" t="s">
        <v>488</v>
      </c>
      <c r="D10" s="29">
        <v>36432</v>
      </c>
      <c r="E10" t="s">
        <v>489</v>
      </c>
      <c r="F10" s="29">
        <v>36431.8</v>
      </c>
      <c r="G10" t="s">
        <v>490</v>
      </c>
      <c r="H10" s="38">
        <v>0.000005489679402642996</v>
      </c>
      <c r="I10" t="s">
        <v>492</v>
      </c>
    </row>
    <row r="11" spans="1:9" x14ac:dyDescent="0.25">
      <c r="A11" t="s">
        <v>362</v>
      </c>
      <c r="B11" t="s">
        <v>487</v>
      </c>
      <c r="C11" t="s">
        <v>488</v>
      </c>
      <c r="D11" s="29">
        <v>19300</v>
      </c>
      <c r="E11" t="s">
        <v>489</v>
      </c>
      <c r="F11" s="29">
        <v>14295.5</v>
      </c>
      <c r="G11" s="5" t="s">
        <v>493</v>
      </c>
      <c r="H11" s="38">
        <v>0.25930051813471505</v>
      </c>
      <c r="I11" t="s">
        <v>494</v>
      </c>
    </row>
    <row r="12" spans="1:9" x14ac:dyDescent="0.25">
      <c r="A12" t="s">
        <v>105</v>
      </c>
      <c r="B12" t="s">
        <v>487</v>
      </c>
      <c r="C12" t="s">
        <v>488</v>
      </c>
      <c r="D12" s="29">
        <v>16561</v>
      </c>
      <c r="E12" t="s">
        <v>489</v>
      </c>
      <c r="F12" s="29">
        <v>16560.7</v>
      </c>
      <c r="G12" t="s">
        <v>490</v>
      </c>
      <c r="H12" s="38">
        <v>0.000018114848137145848</v>
      </c>
      <c r="I12" t="s">
        <v>495</v>
      </c>
    </row>
    <row r="13" spans="1:9" x14ac:dyDescent="0.25">
      <c r="A13" t="s">
        <v>496</v>
      </c>
      <c r="B13" t="s">
        <v>487</v>
      </c>
      <c r="C13" t="s">
        <v>488</v>
      </c>
      <c r="D13" s="29">
        <v>4305.86</v>
      </c>
      <c r="E13" t="s">
        <v>489</v>
      </c>
      <c r="F13" s="29">
        <v>4273.3</v>
      </c>
      <c r="G13" s="5" t="s">
        <v>493</v>
      </c>
      <c r="H13" s="38">
        <v>0.0075617878890626945</v>
      </c>
      <c r="I13" t="s">
        <v>497</v>
      </c>
    </row>
    <row r="14" spans="1:9" x14ac:dyDescent="0.25">
      <c r="A14" t="s">
        <v>498</v>
      </c>
      <c r="B14" t="s">
        <v>487</v>
      </c>
      <c r="C14" t="s">
        <v>488</v>
      </c>
      <c r="D14" s="29">
        <v>12287</v>
      </c>
      <c r="E14" t="s">
        <v>489</v>
      </c>
      <c r="F14" s="29">
        <v>8345.9</v>
      </c>
      <c r="G14" s="5" t="s">
        <v>493</v>
      </c>
      <c r="H14" s="38">
        <v>0.3207536420607146</v>
      </c>
      <c r="I14" t="s">
        <v>499</v>
      </c>
    </row>
    <row r="15" spans="1:9" x14ac:dyDescent="0.25">
      <c r="A15" t="s">
        <v>500</v>
      </c>
      <c r="B15" t="s">
        <v>487</v>
      </c>
      <c r="C15" t="s">
        <v>488</v>
      </c>
      <c r="D15" t="s">
        <v>25</v>
      </c>
      <c r="E15" t="s">
        <v>489</v>
      </c>
      <c r="F15" s="29">
        <v>8345.9</v>
      </c>
      <c r="G15" t="s">
        <v>501</v>
      </c>
      <c r="H15" t="s">
        <v>25</v>
      </c>
      <c r="I15" t="s">
        <v>502</v>
      </c>
    </row>
    <row r="16" spans="1:9" x14ac:dyDescent="0.25">
      <c r="A16" t="s">
        <v>503</v>
      </c>
      <c r="B16" t="s">
        <v>487</v>
      </c>
      <c r="C16" t="s">
        <v>488</v>
      </c>
      <c r="D16" t="s">
        <v>25</v>
      </c>
      <c r="E16" t="s">
        <v>489</v>
      </c>
      <c r="F16" s="29">
        <v>14.57</v>
      </c>
      <c r="G16" t="s">
        <v>501</v>
      </c>
      <c r="H16" t="s">
        <v>25</v>
      </c>
      <c r="I16" t="s">
        <v>502</v>
      </c>
    </row>
    <row r="17" spans="1:9" x14ac:dyDescent="0.25">
      <c r="A17" t="s">
        <v>373</v>
      </c>
      <c r="B17" t="s">
        <v>487</v>
      </c>
      <c r="C17" t="s">
        <v>488</v>
      </c>
      <c r="D17" s="29">
        <v>444557</v>
      </c>
      <c r="E17" t="s">
        <v>489</v>
      </c>
      <c r="F17" s="29">
        <v>446633.2</v>
      </c>
      <c r="G17" t="s">
        <v>490</v>
      </c>
      <c r="H17" s="38">
        <v>0.004670267254817744</v>
      </c>
      <c r="I17" t="s">
        <v>504</v>
      </c>
    </row>
    <row r="18" spans="1:9" x14ac:dyDescent="0.25">
      <c r="A18" t="s">
        <v>505</v>
      </c>
      <c r="B18" t="s">
        <v>487</v>
      </c>
      <c r="C18" t="s">
        <v>488</v>
      </c>
      <c r="D18" t="s">
        <v>25</v>
      </c>
      <c r="E18" t="s">
        <v>489</v>
      </c>
      <c r="F18" s="29">
        <v>106444.3</v>
      </c>
      <c r="G18" t="s">
        <v>501</v>
      </c>
      <c r="H18" t="s">
        <v>25</v>
      </c>
      <c r="I18" t="s">
        <v>502</v>
      </c>
    </row>
    <row r="19" spans="1:9" x14ac:dyDescent="0.25">
      <c r="A19" t="s">
        <v>506</v>
      </c>
      <c r="B19" t="s">
        <v>487</v>
      </c>
      <c r="C19" t="s">
        <v>488</v>
      </c>
      <c r="D19" s="29">
        <v>77563</v>
      </c>
      <c r="E19" t="s">
        <v>489</v>
      </c>
      <c r="F19" s="29">
        <v>77562.9</v>
      </c>
      <c r="G19" t="s">
        <v>490</v>
      </c>
      <c r="H19" s="38">
        <v>0.0000012892745252997018</v>
      </c>
      <c r="I19" t="s">
        <v>507</v>
      </c>
    </row>
    <row r="20" spans="1:9" x14ac:dyDescent="0.25">
      <c r="A20" t="s">
        <v>508</v>
      </c>
      <c r="B20" t="s">
        <v>487</v>
      </c>
      <c r="C20" t="s">
        <v>488</v>
      </c>
      <c r="D20" s="29">
        <v>2837</v>
      </c>
      <c r="E20" t="s">
        <v>489</v>
      </c>
      <c r="F20" s="29">
        <v>2836.6</v>
      </c>
      <c r="G20" t="s">
        <v>490</v>
      </c>
      <c r="H20" s="38">
        <v>0.00014099400775470248</v>
      </c>
      <c r="I20" t="s">
        <v>509</v>
      </c>
    </row>
    <row r="21" spans="1:9" x14ac:dyDescent="0.25">
      <c r="A21" t="s">
        <v>510</v>
      </c>
      <c r="B21" t="s">
        <v>487</v>
      </c>
      <c r="C21" t="s">
        <v>488</v>
      </c>
      <c r="D21" t="s">
        <v>25</v>
      </c>
      <c r="E21" t="s">
        <v>489</v>
      </c>
      <c r="F21" s="29">
        <v>151568.6</v>
      </c>
      <c r="G21" t="s">
        <v>501</v>
      </c>
      <c r="H21" t="s">
        <v>25</v>
      </c>
      <c r="I21" t="s">
        <v>502</v>
      </c>
    </row>
    <row r="22" spans="1:9" x14ac:dyDescent="0.25">
      <c r="A22" t="s">
        <v>511</v>
      </c>
      <c r="B22" t="s">
        <v>487</v>
      </c>
      <c r="C22" t="s">
        <v>488</v>
      </c>
      <c r="D22" t="s">
        <v>25</v>
      </c>
      <c r="E22" t="s">
        <v>489</v>
      </c>
      <c r="F22" s="29">
        <v>13976.2</v>
      </c>
      <c r="G22" t="s">
        <v>501</v>
      </c>
      <c r="H22" t="s">
        <v>25</v>
      </c>
      <c r="I22" t="s">
        <v>502</v>
      </c>
    </row>
    <row r="23" spans="1:9" x14ac:dyDescent="0.25">
      <c r="A23" t="s">
        <v>512</v>
      </c>
      <c r="B23" t="s">
        <v>487</v>
      </c>
      <c r="C23" t="s">
        <v>488</v>
      </c>
      <c r="D23" s="29">
        <v>13419</v>
      </c>
      <c r="E23" t="s">
        <v>489</v>
      </c>
      <c r="F23" s="29">
        <v>7179.4</v>
      </c>
      <c r="G23" s="5" t="s">
        <v>493</v>
      </c>
      <c r="H23" s="38">
        <v>0.46498248751769883</v>
      </c>
      <c r="I23" t="s">
        <v>513</v>
      </c>
    </row>
    <row r="24" spans="1:9" x14ac:dyDescent="0.25">
      <c r="A24" t="s">
        <v>514</v>
      </c>
      <c r="B24" t="s">
        <v>487</v>
      </c>
      <c r="C24" t="s">
        <v>488</v>
      </c>
      <c r="D24" s="29">
        <v>65325</v>
      </c>
      <c r="E24" t="s">
        <v>489</v>
      </c>
      <c r="F24" s="29">
        <v>65324.6</v>
      </c>
      <c r="G24" t="s">
        <v>490</v>
      </c>
      <c r="H24" s="38">
        <v>0.000006123230003849295</v>
      </c>
      <c r="I24" t="s">
        <v>515</v>
      </c>
    </row>
    <row r="25" spans="1:9" x14ac:dyDescent="0.25">
      <c r="A25" t="s">
        <v>516</v>
      </c>
      <c r="B25" t="s">
        <v>487</v>
      </c>
      <c r="C25" t="s">
        <v>488</v>
      </c>
      <c r="D25" s="29">
        <v>-39232</v>
      </c>
      <c r="E25" t="s">
        <v>489</v>
      </c>
      <c r="F25" s="29">
        <v>-39080.2</v>
      </c>
      <c r="G25" t="s">
        <v>490</v>
      </c>
      <c r="H25" s="38">
        <v>0.0038692903752039895</v>
      </c>
      <c r="I25" t="s">
        <v>517</v>
      </c>
    </row>
    <row r="26" spans="1:9" x14ac:dyDescent="0.25">
      <c r="A26" t="s">
        <v>518</v>
      </c>
      <c r="B26" t="s">
        <v>487</v>
      </c>
      <c r="C26" t="s">
        <v>488</v>
      </c>
      <c r="D26" s="29">
        <v>-24470</v>
      </c>
      <c r="E26" t="s">
        <v>489</v>
      </c>
      <c r="F26" s="29">
        <v>-24469.5</v>
      </c>
      <c r="G26" t="s">
        <v>490</v>
      </c>
      <c r="H26" s="38">
        <v>0.00002043318348998774</v>
      </c>
      <c r="I26" t="s">
        <v>519</v>
      </c>
    </row>
    <row r="27" spans="1:9" x14ac:dyDescent="0.25">
      <c r="A27" t="s">
        <v>520</v>
      </c>
      <c r="B27" t="s">
        <v>487</v>
      </c>
      <c r="C27" t="s">
        <v>488</v>
      </c>
      <c r="D27" s="29">
        <v>-26538</v>
      </c>
      <c r="E27" t="s">
        <v>489</v>
      </c>
      <c r="F27" s="29">
        <v>-26538.5</v>
      </c>
      <c r="G27" t="s">
        <v>490</v>
      </c>
      <c r="H27" s="38">
        <v>0.00001884090737809933</v>
      </c>
      <c r="I27" t="s">
        <v>521</v>
      </c>
    </row>
    <row r="28" spans="1:9" x14ac:dyDescent="0.25">
      <c r="A28" t="s">
        <v>522</v>
      </c>
      <c r="B28" t="s">
        <v>487</v>
      </c>
      <c r="C28" t="s">
        <v>488</v>
      </c>
      <c r="D28" t="s">
        <v>25</v>
      </c>
      <c r="E28" t="s">
        <v>489</v>
      </c>
      <c r="F28" s="29">
        <v>596.45</v>
      </c>
      <c r="G28" t="s">
        <v>501</v>
      </c>
      <c r="H28" t="s">
        <v>25</v>
      </c>
      <c r="I28" t="s">
        <v>502</v>
      </c>
    </row>
    <row r="29" spans="1:9" x14ac:dyDescent="0.25">
      <c r="A29" t="s">
        <v>23</v>
      </c>
      <c r="B29" t="s">
        <v>523</v>
      </c>
      <c r="C29" t="s">
        <v>488</v>
      </c>
      <c r="D29" s="29">
        <v>149982</v>
      </c>
      <c r="E29" t="s">
        <v>489</v>
      </c>
      <c r="F29" s="29">
        <v>149982.4</v>
      </c>
      <c r="G29" t="s">
        <v>490</v>
      </c>
      <c r="H29" s="38">
        <v>0.0000026669867050324655</v>
      </c>
      <c r="I29" t="s">
        <v>524</v>
      </c>
    </row>
    <row r="30" spans="1:9" x14ac:dyDescent="0.25">
      <c r="A30" t="s">
        <v>359</v>
      </c>
      <c r="B30" t="s">
        <v>523</v>
      </c>
      <c r="C30" t="s">
        <v>488</v>
      </c>
      <c r="D30" s="29">
        <v>39538</v>
      </c>
      <c r="E30" t="s">
        <v>489</v>
      </c>
      <c r="F30" s="29">
        <v>39537.6</v>
      </c>
      <c r="G30" t="s">
        <v>490</v>
      </c>
      <c r="H30" s="38">
        <v>0.000010116849613067308</v>
      </c>
      <c r="I30" t="s">
        <v>525</v>
      </c>
    </row>
    <row r="31" spans="1:9" x14ac:dyDescent="0.25">
      <c r="A31" t="s">
        <v>362</v>
      </c>
      <c r="B31" t="s">
        <v>523</v>
      </c>
      <c r="C31" t="s">
        <v>488</v>
      </c>
      <c r="D31" s="29">
        <v>22648</v>
      </c>
      <c r="E31" t="s">
        <v>489</v>
      </c>
      <c r="F31" s="29">
        <v>15955.9</v>
      </c>
      <c r="G31" s="5" t="s">
        <v>493</v>
      </c>
      <c r="H31" s="38">
        <v>0.29548304486047333</v>
      </c>
      <c r="I31" t="s">
        <v>526</v>
      </c>
    </row>
    <row r="32" spans="1:9" x14ac:dyDescent="0.25">
      <c r="A32" t="s">
        <v>105</v>
      </c>
      <c r="B32" t="s">
        <v>523</v>
      </c>
      <c r="C32" t="s">
        <v>488</v>
      </c>
      <c r="D32" s="29">
        <v>12679</v>
      </c>
      <c r="E32" t="s">
        <v>489</v>
      </c>
      <c r="F32" s="29">
        <v>12679</v>
      </c>
      <c r="G32" t="s">
        <v>490</v>
      </c>
      <c r="H32" s="38">
        <v>0</v>
      </c>
      <c r="I32" t="s">
        <v>527</v>
      </c>
    </row>
    <row r="33" spans="1:9" x14ac:dyDescent="0.25">
      <c r="A33" t="s">
        <v>496</v>
      </c>
      <c r="B33" t="s">
        <v>523</v>
      </c>
      <c r="C33" t="s">
        <v>488</v>
      </c>
      <c r="D33" s="29">
        <v>4057.28</v>
      </c>
      <c r="E33" t="s">
        <v>489</v>
      </c>
      <c r="F33" s="29">
        <v>4121</v>
      </c>
      <c r="G33" s="5" t="s">
        <v>493</v>
      </c>
      <c r="H33" s="38">
        <v>0.01570510292609822</v>
      </c>
      <c r="I33" t="s">
        <v>528</v>
      </c>
    </row>
    <row r="34" spans="1:9" x14ac:dyDescent="0.25">
      <c r="A34" t="s">
        <v>498</v>
      </c>
      <c r="B34" t="s">
        <v>523</v>
      </c>
      <c r="C34" t="s">
        <v>488</v>
      </c>
      <c r="D34" s="29">
        <v>8558</v>
      </c>
      <c r="E34" t="s">
        <v>489</v>
      </c>
      <c r="F34" s="29">
        <v>7467</v>
      </c>
      <c r="G34" s="5" t="s">
        <v>493</v>
      </c>
      <c r="H34" s="38">
        <v>0.12748305678896937</v>
      </c>
      <c r="I34" t="s">
        <v>529</v>
      </c>
    </row>
    <row r="35" spans="1:9" x14ac:dyDescent="0.25">
      <c r="A35" t="s">
        <v>500</v>
      </c>
      <c r="B35" t="s">
        <v>523</v>
      </c>
      <c r="C35" t="s">
        <v>488</v>
      </c>
      <c r="D35" t="s">
        <v>25</v>
      </c>
      <c r="E35" t="s">
        <v>489</v>
      </c>
      <c r="F35" s="29">
        <v>7467</v>
      </c>
      <c r="G35" t="s">
        <v>501</v>
      </c>
      <c r="H35" t="s">
        <v>25</v>
      </c>
      <c r="I35" t="s">
        <v>502</v>
      </c>
    </row>
    <row r="36" spans="1:9" x14ac:dyDescent="0.25">
      <c r="A36" t="s">
        <v>503</v>
      </c>
      <c r="B36" t="s">
        <v>523</v>
      </c>
      <c r="C36" t="s">
        <v>488</v>
      </c>
      <c r="D36" t="s">
        <v>25</v>
      </c>
      <c r="E36" t="s">
        <v>489</v>
      </c>
      <c r="F36" s="29">
        <v>12.8</v>
      </c>
      <c r="G36" t="s">
        <v>501</v>
      </c>
      <c r="H36" t="s">
        <v>25</v>
      </c>
      <c r="I36" t="s">
        <v>502</v>
      </c>
    </row>
    <row r="37" spans="1:9" x14ac:dyDescent="0.25">
      <c r="A37" t="s">
        <v>373</v>
      </c>
      <c r="B37" t="s">
        <v>523</v>
      </c>
      <c r="C37" t="s">
        <v>488</v>
      </c>
      <c r="D37" s="29">
        <v>442019</v>
      </c>
      <c r="E37" t="s">
        <v>489</v>
      </c>
      <c r="F37" s="29">
        <v>444531</v>
      </c>
      <c r="G37" s="5" t="s">
        <v>493</v>
      </c>
      <c r="H37" s="38">
        <v>0.005683013626111095</v>
      </c>
      <c r="I37" t="s">
        <v>530</v>
      </c>
    </row>
    <row r="38" spans="1:9" x14ac:dyDescent="0.25">
      <c r="A38" t="s">
        <v>505</v>
      </c>
      <c r="B38" t="s">
        <v>523</v>
      </c>
      <c r="C38" t="s">
        <v>488</v>
      </c>
      <c r="D38" t="s">
        <v>25</v>
      </c>
      <c r="E38" t="s">
        <v>489</v>
      </c>
      <c r="F38" s="29">
        <v>105563.9</v>
      </c>
      <c r="G38" t="s">
        <v>501</v>
      </c>
      <c r="H38" t="s">
        <v>25</v>
      </c>
      <c r="I38" t="s">
        <v>502</v>
      </c>
    </row>
    <row r="39" spans="1:9" x14ac:dyDescent="0.25">
      <c r="A39" t="s">
        <v>506</v>
      </c>
      <c r="B39" t="s">
        <v>523</v>
      </c>
      <c r="C39" t="s">
        <v>488</v>
      </c>
      <c r="D39" s="29">
        <v>82019</v>
      </c>
      <c r="E39" t="s">
        <v>489</v>
      </c>
      <c r="F39" s="29">
        <v>82018.8</v>
      </c>
      <c r="G39" t="s">
        <v>490</v>
      </c>
      <c r="H39" s="38">
        <v>0.0000024384593813273706</v>
      </c>
      <c r="I39" t="s">
        <v>531</v>
      </c>
    </row>
    <row r="40" spans="1:9" x14ac:dyDescent="0.25">
      <c r="A40" t="s">
        <v>508</v>
      </c>
      <c r="B40" t="s">
        <v>523</v>
      </c>
      <c r="C40" t="s">
        <v>488</v>
      </c>
      <c r="D40" s="29">
        <v>2877</v>
      </c>
      <c r="E40" t="s">
        <v>489</v>
      </c>
      <c r="F40" s="29">
        <v>2876.6</v>
      </c>
      <c r="G40" t="s">
        <v>490</v>
      </c>
      <c r="H40" s="38">
        <v>0.00013903371567608306</v>
      </c>
      <c r="I40" t="s">
        <v>532</v>
      </c>
    </row>
    <row r="41" spans="1:9" x14ac:dyDescent="0.25">
      <c r="A41" t="s">
        <v>510</v>
      </c>
      <c r="B41" t="s">
        <v>523</v>
      </c>
      <c r="C41" t="s">
        <v>488</v>
      </c>
      <c r="D41" t="s">
        <v>25</v>
      </c>
      <c r="E41" t="s">
        <v>489</v>
      </c>
      <c r="F41" s="29">
        <v>130962.6</v>
      </c>
      <c r="G41" t="s">
        <v>501</v>
      </c>
      <c r="H41" t="s">
        <v>25</v>
      </c>
      <c r="I41" t="s">
        <v>502</v>
      </c>
    </row>
    <row r="42" spans="1:9" x14ac:dyDescent="0.25">
      <c r="A42" t="s">
        <v>511</v>
      </c>
      <c r="B42" t="s">
        <v>523</v>
      </c>
      <c r="C42" t="s">
        <v>488</v>
      </c>
      <c r="D42" t="s">
        <v>25</v>
      </c>
      <c r="E42" t="s">
        <v>489</v>
      </c>
      <c r="F42" s="29">
        <v>20953.9</v>
      </c>
      <c r="G42" t="s">
        <v>501</v>
      </c>
      <c r="H42" t="s">
        <v>25</v>
      </c>
      <c r="I42" t="s">
        <v>502</v>
      </c>
    </row>
    <row r="43" spans="1:9" x14ac:dyDescent="0.25">
      <c r="A43" t="s">
        <v>512</v>
      </c>
      <c r="B43" t="s">
        <v>523</v>
      </c>
      <c r="C43" t="s">
        <v>488</v>
      </c>
      <c r="D43" s="29">
        <v>16340</v>
      </c>
      <c r="E43" t="s">
        <v>489</v>
      </c>
      <c r="F43" s="29">
        <v>6915.5</v>
      </c>
      <c r="G43" s="5" t="s">
        <v>493</v>
      </c>
      <c r="H43" s="38">
        <v>0.5767747858017136</v>
      </c>
      <c r="I43" t="s">
        <v>533</v>
      </c>
    </row>
    <row r="44" spans="1:9" x14ac:dyDescent="0.25">
      <c r="A44" t="s">
        <v>514</v>
      </c>
      <c r="B44" t="s">
        <v>523</v>
      </c>
      <c r="C44" t="s">
        <v>488</v>
      </c>
      <c r="D44" s="29">
        <v>78898</v>
      </c>
      <c r="E44" t="s">
        <v>489</v>
      </c>
      <c r="F44" s="29">
        <v>78898.2</v>
      </c>
      <c r="G44" t="s">
        <v>490</v>
      </c>
      <c r="H44" s="38">
        <v>0.000002534918502333261</v>
      </c>
      <c r="I44" t="s">
        <v>534</v>
      </c>
    </row>
    <row r="45" spans="1:9" x14ac:dyDescent="0.25">
      <c r="A45" t="s">
        <v>516</v>
      </c>
      <c r="B45" t="s">
        <v>523</v>
      </c>
      <c r="C45" t="s">
        <v>488</v>
      </c>
      <c r="D45" s="29">
        <v>-51089</v>
      </c>
      <c r="E45" t="s">
        <v>489</v>
      </c>
      <c r="F45" s="29">
        <v>-50203.9</v>
      </c>
      <c r="G45" s="5" t="s">
        <v>493</v>
      </c>
      <c r="H45" s="38">
        <v>0.017324668715379014</v>
      </c>
      <c r="I45" t="s">
        <v>535</v>
      </c>
    </row>
    <row r="46" spans="1:9" x14ac:dyDescent="0.25">
      <c r="A46" t="s">
        <v>518</v>
      </c>
      <c r="B46" t="s">
        <v>523</v>
      </c>
      <c r="C46" t="s">
        <v>488</v>
      </c>
      <c r="D46" s="29">
        <v>-27778</v>
      </c>
      <c r="E46" t="s">
        <v>489</v>
      </c>
      <c r="F46" s="29">
        <v>-27778.5</v>
      </c>
      <c r="G46" t="s">
        <v>490</v>
      </c>
      <c r="H46" s="38">
        <v>0.000017999856001151992</v>
      </c>
      <c r="I46" t="s">
        <v>536</v>
      </c>
    </row>
    <row r="47" spans="1:9" x14ac:dyDescent="0.25">
      <c r="A47" t="s">
        <v>520</v>
      </c>
      <c r="B47" t="s">
        <v>523</v>
      </c>
      <c r="C47" t="s">
        <v>488</v>
      </c>
      <c r="D47" s="29">
        <v>-40052</v>
      </c>
      <c r="E47" t="s">
        <v>489</v>
      </c>
      <c r="F47" s="29">
        <v>-40051.5</v>
      </c>
      <c r="G47" t="s">
        <v>490</v>
      </c>
      <c r="H47" s="38">
        <v>0.000012483771097573155</v>
      </c>
      <c r="I47" t="s">
        <v>537</v>
      </c>
    </row>
    <row r="48" spans="1:9" x14ac:dyDescent="0.25">
      <c r="A48" t="s">
        <v>522</v>
      </c>
      <c r="B48" t="s">
        <v>523</v>
      </c>
      <c r="C48" t="s">
        <v>488</v>
      </c>
      <c r="D48" t="s">
        <v>25</v>
      </c>
      <c r="E48" t="s">
        <v>489</v>
      </c>
      <c r="F48" s="29">
        <v>604.426</v>
      </c>
      <c r="G48" t="s">
        <v>501</v>
      </c>
      <c r="H48" t="s">
        <v>25</v>
      </c>
      <c r="I48" t="s">
        <v>502</v>
      </c>
    </row>
    <row r="49" spans="1:9" x14ac:dyDescent="0.25">
      <c r="A49" t="s">
        <v>23</v>
      </c>
      <c r="B49" t="s">
        <v>538</v>
      </c>
      <c r="C49" t="s">
        <v>488</v>
      </c>
      <c r="D49" s="29">
        <v>172985</v>
      </c>
      <c r="E49" t="s">
        <v>489</v>
      </c>
      <c r="F49" s="29">
        <v>172985.2</v>
      </c>
      <c r="G49" t="s">
        <v>490</v>
      </c>
      <c r="H49" s="38">
        <v>0.000001156169610149097</v>
      </c>
      <c r="I49" t="s">
        <v>539</v>
      </c>
    </row>
    <row r="50" spans="1:9" x14ac:dyDescent="0.25">
      <c r="A50" t="s">
        <v>359</v>
      </c>
      <c r="B50" t="s">
        <v>538</v>
      </c>
      <c r="C50" t="s">
        <v>488</v>
      </c>
      <c r="D50" s="29">
        <v>45570</v>
      </c>
      <c r="E50" t="s">
        <v>489</v>
      </c>
      <c r="F50" s="29">
        <v>45570.3</v>
      </c>
      <c r="G50" t="s">
        <v>490</v>
      </c>
      <c r="H50" s="38">
        <v>0.00000658327847274326</v>
      </c>
      <c r="I50" t="s">
        <v>540</v>
      </c>
    </row>
    <row r="51" spans="1:9" x14ac:dyDescent="0.25">
      <c r="A51" t="s">
        <v>362</v>
      </c>
      <c r="B51" t="s">
        <v>538</v>
      </c>
      <c r="C51" t="s">
        <v>488</v>
      </c>
      <c r="D51" s="29">
        <v>21754</v>
      </c>
      <c r="E51" t="s">
        <v>489</v>
      </c>
      <c r="F51" s="29">
        <v>17614.1</v>
      </c>
      <c r="G51" s="5" t="s">
        <v>493</v>
      </c>
      <c r="H51" s="38">
        <v>0.1903052312218443</v>
      </c>
      <c r="I51" t="s">
        <v>541</v>
      </c>
    </row>
    <row r="52" spans="1:9" x14ac:dyDescent="0.25">
      <c r="A52" t="s">
        <v>105</v>
      </c>
      <c r="B52" t="s">
        <v>538</v>
      </c>
      <c r="C52" t="s">
        <v>488</v>
      </c>
      <c r="D52" s="29">
        <v>38398</v>
      </c>
      <c r="E52" t="s">
        <v>489</v>
      </c>
      <c r="F52" s="29">
        <v>38398.5</v>
      </c>
      <c r="G52" t="s">
        <v>490</v>
      </c>
      <c r="H52" s="38">
        <v>0.000013021511537059222</v>
      </c>
      <c r="I52" t="s">
        <v>542</v>
      </c>
    </row>
    <row r="53" spans="1:9" x14ac:dyDescent="0.25">
      <c r="A53" t="s">
        <v>496</v>
      </c>
      <c r="B53" t="s">
        <v>538</v>
      </c>
      <c r="C53" t="s">
        <v>488</v>
      </c>
      <c r="D53" s="29">
        <v>767.96</v>
      </c>
      <c r="E53" t="s">
        <v>489</v>
      </c>
      <c r="F53" s="29">
        <v>917.2</v>
      </c>
      <c r="G53" s="5" t="s">
        <v>493</v>
      </c>
      <c r="H53" s="38">
        <v>0.19433303817907183</v>
      </c>
      <c r="I53" t="s">
        <v>543</v>
      </c>
    </row>
    <row r="54" spans="1:9" x14ac:dyDescent="0.25">
      <c r="A54" t="s">
        <v>498</v>
      </c>
      <c r="B54" t="s">
        <v>538</v>
      </c>
      <c r="C54" t="s">
        <v>488</v>
      </c>
      <c r="D54" s="29">
        <v>37481</v>
      </c>
      <c r="E54" t="s">
        <v>489</v>
      </c>
      <c r="F54" s="29">
        <v>33556.1</v>
      </c>
      <c r="G54" s="5" t="s">
        <v>493</v>
      </c>
      <c r="H54" s="38">
        <v>0.104717056642032</v>
      </c>
      <c r="I54" t="s">
        <v>544</v>
      </c>
    </row>
    <row r="55" spans="1:9" x14ac:dyDescent="0.25">
      <c r="A55" t="s">
        <v>500</v>
      </c>
      <c r="B55" t="s">
        <v>538</v>
      </c>
      <c r="C55" t="s">
        <v>488</v>
      </c>
      <c r="D55" t="s">
        <v>25</v>
      </c>
      <c r="E55" t="s">
        <v>489</v>
      </c>
      <c r="F55" s="29">
        <v>33556.1</v>
      </c>
      <c r="G55" t="s">
        <v>501</v>
      </c>
      <c r="H55" t="s">
        <v>25</v>
      </c>
      <c r="I55" t="s">
        <v>502</v>
      </c>
    </row>
    <row r="56" spans="1:9" x14ac:dyDescent="0.25">
      <c r="A56" t="s">
        <v>503</v>
      </c>
      <c r="B56" t="s">
        <v>538</v>
      </c>
      <c r="C56" t="s">
        <v>488</v>
      </c>
      <c r="D56" t="s">
        <v>25</v>
      </c>
      <c r="E56" t="s">
        <v>489</v>
      </c>
      <c r="F56" s="29">
        <v>56.04</v>
      </c>
      <c r="G56" t="s">
        <v>501</v>
      </c>
      <c r="H56" t="s">
        <v>25</v>
      </c>
      <c r="I56" t="s">
        <v>502</v>
      </c>
    </row>
    <row r="57" spans="1:9" x14ac:dyDescent="0.25">
      <c r="A57" t="s">
        <v>373</v>
      </c>
      <c r="B57" t="s">
        <v>538</v>
      </c>
      <c r="C57" t="s">
        <v>488</v>
      </c>
      <c r="D57" s="29">
        <v>505006</v>
      </c>
      <c r="E57" t="s">
        <v>489</v>
      </c>
      <c r="F57" s="29">
        <v>514360.4</v>
      </c>
      <c r="G57" s="5" t="s">
        <v>493</v>
      </c>
      <c r="H57" s="38">
        <v>0.018523344277097745</v>
      </c>
      <c r="I57" t="s">
        <v>545</v>
      </c>
    </row>
    <row r="58" spans="1:9" x14ac:dyDescent="0.25">
      <c r="A58" t="s">
        <v>505</v>
      </c>
      <c r="B58" t="s">
        <v>538</v>
      </c>
      <c r="C58" t="s">
        <v>488</v>
      </c>
      <c r="D58" t="s">
        <v>25</v>
      </c>
      <c r="E58" t="s">
        <v>489</v>
      </c>
      <c r="F58" s="29">
        <v>153467.7</v>
      </c>
      <c r="G58" t="s">
        <v>501</v>
      </c>
      <c r="H58" t="s">
        <v>25</v>
      </c>
      <c r="I58" t="s">
        <v>502</v>
      </c>
    </row>
    <row r="59" spans="1:9" x14ac:dyDescent="0.25">
      <c r="A59" t="s">
        <v>506</v>
      </c>
      <c r="B59" t="s">
        <v>538</v>
      </c>
      <c r="C59" t="s">
        <v>488</v>
      </c>
      <c r="D59" s="29">
        <v>113672</v>
      </c>
      <c r="E59" t="s">
        <v>489</v>
      </c>
      <c r="F59" s="29">
        <v>113671.9</v>
      </c>
      <c r="G59" t="s">
        <v>490</v>
      </c>
      <c r="H59" s="38">
        <v>8.797241185676399e-7</v>
      </c>
      <c r="I59" t="s">
        <v>546</v>
      </c>
    </row>
    <row r="60" spans="1:9" x14ac:dyDescent="0.25">
      <c r="A60" t="s">
        <v>508</v>
      </c>
      <c r="B60" t="s">
        <v>538</v>
      </c>
      <c r="C60" t="s">
        <v>488</v>
      </c>
      <c r="D60" s="29">
        <v>2900</v>
      </c>
      <c r="E60" t="s">
        <v>489</v>
      </c>
      <c r="F60" s="29">
        <v>2900.1</v>
      </c>
      <c r="G60" t="s">
        <v>490</v>
      </c>
      <c r="H60" s="38">
        <v>0.000034482758620658296</v>
      </c>
      <c r="I60" t="s">
        <v>547</v>
      </c>
    </row>
    <row r="61" spans="1:9" x14ac:dyDescent="0.25">
      <c r="A61" t="s">
        <v>510</v>
      </c>
      <c r="B61" t="s">
        <v>538</v>
      </c>
      <c r="C61" t="s">
        <v>488</v>
      </c>
      <c r="D61" t="s">
        <v>25</v>
      </c>
      <c r="E61" t="s">
        <v>489</v>
      </c>
      <c r="F61" s="29">
        <v>104863.8</v>
      </c>
      <c r="G61" t="s">
        <v>501</v>
      </c>
      <c r="H61" t="s">
        <v>25</v>
      </c>
      <c r="I61" t="s">
        <v>502</v>
      </c>
    </row>
    <row r="62" spans="1:9" x14ac:dyDescent="0.25">
      <c r="A62" t="s">
        <v>511</v>
      </c>
      <c r="B62" t="s">
        <v>538</v>
      </c>
      <c r="C62" t="s">
        <v>488</v>
      </c>
      <c r="D62" t="s">
        <v>25</v>
      </c>
      <c r="E62" t="s">
        <v>489</v>
      </c>
      <c r="F62" s="29">
        <v>43448.5</v>
      </c>
      <c r="G62" t="s">
        <v>501</v>
      </c>
      <c r="H62" t="s">
        <v>25</v>
      </c>
      <c r="I62" t="s">
        <v>502</v>
      </c>
    </row>
    <row r="63" spans="1:9" x14ac:dyDescent="0.25">
      <c r="A63" t="s">
        <v>512</v>
      </c>
      <c r="B63" t="s">
        <v>538</v>
      </c>
      <c r="C63" t="s">
        <v>488</v>
      </c>
      <c r="D63" s="29">
        <v>16720</v>
      </c>
      <c r="E63" t="s">
        <v>489</v>
      </c>
      <c r="F63" s="29">
        <v>6105.6</v>
      </c>
      <c r="G63" s="5" t="s">
        <v>493</v>
      </c>
      <c r="H63" s="38">
        <v>0.6348325358851674</v>
      </c>
      <c r="I63" t="s">
        <v>548</v>
      </c>
    </row>
    <row r="64" spans="1:9" x14ac:dyDescent="0.25">
      <c r="A64" t="s">
        <v>514</v>
      </c>
      <c r="B64" t="s">
        <v>538</v>
      </c>
      <c r="C64" t="s">
        <v>488</v>
      </c>
      <c r="D64" s="29">
        <v>98332</v>
      </c>
      <c r="E64" t="s">
        <v>489</v>
      </c>
      <c r="F64" s="29">
        <v>98332.2</v>
      </c>
      <c r="G64" t="s">
        <v>490</v>
      </c>
      <c r="H64" s="38">
        <v>0.000002033925883711199</v>
      </c>
      <c r="I64" t="s">
        <v>549</v>
      </c>
    </row>
    <row r="65" spans="1:9" x14ac:dyDescent="0.25">
      <c r="A65" t="s">
        <v>516</v>
      </c>
      <c r="B65" t="s">
        <v>538</v>
      </c>
      <c r="C65" t="s">
        <v>488</v>
      </c>
      <c r="D65" s="29">
        <v>-60198</v>
      </c>
      <c r="E65" t="s">
        <v>489</v>
      </c>
      <c r="F65" s="29">
        <v>-60269.8</v>
      </c>
      <c r="G65" t="s">
        <v>490</v>
      </c>
      <c r="H65" s="38">
        <v>0.0011927306555035535</v>
      </c>
      <c r="I65" t="s">
        <v>550</v>
      </c>
    </row>
    <row r="66" spans="1:9" x14ac:dyDescent="0.25">
      <c r="A66" t="s">
        <v>518</v>
      </c>
      <c r="B66" t="s">
        <v>538</v>
      </c>
      <c r="C66" t="s">
        <v>488</v>
      </c>
      <c r="D66" s="29">
        <v>-36533</v>
      </c>
      <c r="E66" t="s">
        <v>489</v>
      </c>
      <c r="F66" s="29">
        <v>-36533.2</v>
      </c>
      <c r="G66" t="s">
        <v>490</v>
      </c>
      <c r="H66" s="38">
        <v>0.000005474502504505231</v>
      </c>
      <c r="I66" t="s">
        <v>551</v>
      </c>
    </row>
    <row r="67" spans="1:9" x14ac:dyDescent="0.25">
      <c r="A67" t="s">
        <v>520</v>
      </c>
      <c r="B67" t="s">
        <v>538</v>
      </c>
      <c r="C67" t="s">
        <v>488</v>
      </c>
      <c r="D67" s="29">
        <v>-39680</v>
      </c>
      <c r="E67" t="s">
        <v>489</v>
      </c>
      <c r="F67" s="29">
        <v>-39679.9</v>
      </c>
      <c r="G67" t="s">
        <v>490</v>
      </c>
      <c r="H67" s="38">
        <v>0.0000025201612902859075</v>
      </c>
      <c r="I67" t="s">
        <v>552</v>
      </c>
    </row>
    <row r="68" spans="1:9" x14ac:dyDescent="0.25">
      <c r="A68" t="s">
        <v>522</v>
      </c>
      <c r="B68" t="s">
        <v>538</v>
      </c>
      <c r="C68" t="s">
        <v>488</v>
      </c>
      <c r="D68" t="s">
        <v>25</v>
      </c>
      <c r="E68" t="s">
        <v>489</v>
      </c>
      <c r="F68" s="29">
        <v>609.006</v>
      </c>
      <c r="G68" t="s">
        <v>501</v>
      </c>
      <c r="H68" t="s">
        <v>25</v>
      </c>
      <c r="I68" t="s">
        <v>502</v>
      </c>
    </row>
    <row r="69" spans="1:9" x14ac:dyDescent="0.25">
      <c r="A69" t="s">
        <v>23</v>
      </c>
      <c r="B69" t="s">
        <v>553</v>
      </c>
      <c r="C69" t="s">
        <v>488</v>
      </c>
      <c r="D69" s="29">
        <v>210973</v>
      </c>
      <c r="E69" t="s">
        <v>489</v>
      </c>
      <c r="F69" s="29">
        <v>210972.8</v>
      </c>
      <c r="G69" t="s">
        <v>490</v>
      </c>
      <c r="H69" s="38">
        <v>9.479886052321459e-7</v>
      </c>
      <c r="I69" t="s">
        <v>554</v>
      </c>
    </row>
    <row r="70" spans="1:9" x14ac:dyDescent="0.25">
      <c r="A70" t="s">
        <v>359</v>
      </c>
      <c r="B70" t="s">
        <v>553</v>
      </c>
      <c r="C70" t="s">
        <v>488</v>
      </c>
      <c r="D70" s="29">
        <v>52711</v>
      </c>
      <c r="E70" t="s">
        <v>489</v>
      </c>
      <c r="F70" s="29">
        <v>52710.8</v>
      </c>
      <c r="G70" t="s">
        <v>490</v>
      </c>
      <c r="H70" s="38">
        <v>0.000003794274439815022</v>
      </c>
      <c r="I70" t="s">
        <v>555</v>
      </c>
    </row>
    <row r="71" spans="1:9" x14ac:dyDescent="0.25">
      <c r="A71" t="s">
        <v>362</v>
      </c>
      <c r="B71" t="s">
        <v>553</v>
      </c>
      <c r="C71" t="s">
        <v>488</v>
      </c>
      <c r="D71" s="29">
        <v>21555</v>
      </c>
      <c r="E71" t="s">
        <v>489</v>
      </c>
      <c r="F71" s="29">
        <v>17842.6</v>
      </c>
      <c r="G71" s="5" t="s">
        <v>493</v>
      </c>
      <c r="H71" s="38">
        <v>0.17222918116446306</v>
      </c>
      <c r="I71" t="s">
        <v>556</v>
      </c>
    </row>
    <row r="72" spans="1:9" x14ac:dyDescent="0.25">
      <c r="A72" t="s">
        <v>105</v>
      </c>
      <c r="B72" t="s">
        <v>553</v>
      </c>
      <c r="C72" t="s">
        <v>488</v>
      </c>
      <c r="D72" s="29">
        <v>45173</v>
      </c>
      <c r="E72" t="s">
        <v>489</v>
      </c>
      <c r="F72" s="29">
        <v>45172.7</v>
      </c>
      <c r="G72" t="s">
        <v>490</v>
      </c>
      <c r="H72" s="38">
        <v>0.000006641135191439807</v>
      </c>
      <c r="I72" t="s">
        <v>557</v>
      </c>
    </row>
    <row r="73" spans="1:9" x14ac:dyDescent="0.25">
      <c r="A73" t="s">
        <v>496</v>
      </c>
      <c r="B73" t="s">
        <v>553</v>
      </c>
      <c r="C73" t="s">
        <v>488</v>
      </c>
      <c r="D73" s="29">
        <v>11293.25</v>
      </c>
      <c r="E73" t="s">
        <v>489</v>
      </c>
      <c r="F73" s="29">
        <v>11349.9</v>
      </c>
      <c r="G73" s="5" t="s">
        <v>493</v>
      </c>
      <c r="H73" s="38">
        <v>0.005016270781218838</v>
      </c>
      <c r="I73" t="s">
        <v>558</v>
      </c>
    </row>
    <row r="74" spans="1:9" x14ac:dyDescent="0.25">
      <c r="A74" t="s">
        <v>498</v>
      </c>
      <c r="B74" t="s">
        <v>553</v>
      </c>
      <c r="C74" t="s">
        <v>488</v>
      </c>
      <c r="D74" s="29">
        <v>33823</v>
      </c>
      <c r="E74" t="s">
        <v>489</v>
      </c>
      <c r="F74" s="29">
        <v>26695.2</v>
      </c>
      <c r="G74" s="5" t="s">
        <v>493</v>
      </c>
      <c r="H74" s="38">
        <v>0.21073825503355703</v>
      </c>
      <c r="I74" t="s">
        <v>559</v>
      </c>
    </row>
    <row r="75" spans="1:9" x14ac:dyDescent="0.25">
      <c r="A75" t="s">
        <v>500</v>
      </c>
      <c r="B75" t="s">
        <v>553</v>
      </c>
      <c r="C75" t="s">
        <v>488</v>
      </c>
      <c r="D75" t="s">
        <v>25</v>
      </c>
      <c r="E75" t="s">
        <v>489</v>
      </c>
      <c r="F75" s="29">
        <v>26695.2</v>
      </c>
      <c r="G75" t="s">
        <v>501</v>
      </c>
      <c r="H75" t="s">
        <v>25</v>
      </c>
      <c r="I75" t="s">
        <v>502</v>
      </c>
    </row>
    <row r="76" spans="1:9" x14ac:dyDescent="0.25">
      <c r="A76" t="s">
        <v>503</v>
      </c>
      <c r="B76" t="s">
        <v>553</v>
      </c>
      <c r="C76" t="s">
        <v>488</v>
      </c>
      <c r="D76" t="s">
        <v>25</v>
      </c>
      <c r="E76" t="s">
        <v>489</v>
      </c>
      <c r="F76" s="29">
        <v>44.37</v>
      </c>
      <c r="G76" t="s">
        <v>501</v>
      </c>
      <c r="H76" t="s">
        <v>25</v>
      </c>
      <c r="I76" t="s">
        <v>502</v>
      </c>
    </row>
    <row r="77" spans="1:9" x14ac:dyDescent="0.25">
      <c r="A77" t="s">
        <v>373</v>
      </c>
      <c r="B77" t="s">
        <v>553</v>
      </c>
      <c r="C77" t="s">
        <v>488</v>
      </c>
      <c r="D77" s="29">
        <v>545373</v>
      </c>
      <c r="E77" t="s">
        <v>489</v>
      </c>
      <c r="F77" s="29">
        <v>552151.6</v>
      </c>
      <c r="G77" s="5" t="s">
        <v>493</v>
      </c>
      <c r="H77" s="38">
        <v>0.012429291512414396</v>
      </c>
      <c r="I77" t="s">
        <v>560</v>
      </c>
    </row>
    <row r="78" spans="1:9" x14ac:dyDescent="0.25">
      <c r="A78" t="s">
        <v>505</v>
      </c>
      <c r="B78" t="s">
        <v>553</v>
      </c>
      <c r="C78" t="s">
        <v>488</v>
      </c>
      <c r="D78" t="s">
        <v>25</v>
      </c>
      <c r="E78" t="s">
        <v>489</v>
      </c>
      <c r="F78" s="29">
        <v>195963.4</v>
      </c>
      <c r="G78" t="s">
        <v>501</v>
      </c>
      <c r="H78" t="s">
        <v>25</v>
      </c>
      <c r="I78" t="s">
        <v>502</v>
      </c>
    </row>
    <row r="79" spans="1:9" x14ac:dyDescent="0.25">
      <c r="A79" t="s">
        <v>506</v>
      </c>
      <c r="B79" t="s">
        <v>553</v>
      </c>
      <c r="C79" t="s">
        <v>488</v>
      </c>
      <c r="D79" s="29">
        <v>149057</v>
      </c>
      <c r="E79" t="s">
        <v>489</v>
      </c>
      <c r="F79" s="29">
        <v>149056.6</v>
      </c>
      <c r="G79" t="s">
        <v>490</v>
      </c>
      <c r="H79" s="38">
        <v>0.0000026835371703051802</v>
      </c>
      <c r="I79" t="s">
        <v>561</v>
      </c>
    </row>
    <row r="80" spans="1:9" x14ac:dyDescent="0.25">
      <c r="A80" t="s">
        <v>508</v>
      </c>
      <c r="B80" t="s">
        <v>553</v>
      </c>
      <c r="C80" t="s">
        <v>488</v>
      </c>
      <c r="D80" s="29">
        <v>3047</v>
      </c>
      <c r="E80" t="s">
        <v>489</v>
      </c>
      <c r="F80" s="29">
        <v>3046.8</v>
      </c>
      <c r="G80" t="s">
        <v>490</v>
      </c>
      <c r="H80" s="38">
        <v>0.00006563833278628752</v>
      </c>
      <c r="I80" t="s">
        <v>562</v>
      </c>
    </row>
    <row r="81" spans="1:9" x14ac:dyDescent="0.25">
      <c r="A81" t="s">
        <v>510</v>
      </c>
      <c r="B81" t="s">
        <v>553</v>
      </c>
      <c r="C81" t="s">
        <v>488</v>
      </c>
      <c r="D81" t="s">
        <v>25</v>
      </c>
      <c r="E81" t="s">
        <v>489</v>
      </c>
      <c r="F81" s="29">
        <v>100084.9</v>
      </c>
      <c r="G81" t="s">
        <v>501</v>
      </c>
      <c r="H81" t="s">
        <v>25</v>
      </c>
      <c r="I81" t="s">
        <v>502</v>
      </c>
    </row>
    <row r="82" spans="1:9" x14ac:dyDescent="0.25">
      <c r="A82" t="s">
        <v>511</v>
      </c>
      <c r="B82" t="s">
        <v>553</v>
      </c>
      <c r="C82" t="s">
        <v>488</v>
      </c>
      <c r="D82" t="s">
        <v>25</v>
      </c>
      <c r="E82" t="s">
        <v>489</v>
      </c>
      <c r="F82" s="29">
        <v>21586.5</v>
      </c>
      <c r="G82" t="s">
        <v>501</v>
      </c>
      <c r="H82" t="s">
        <v>25</v>
      </c>
      <c r="I82" t="s">
        <v>502</v>
      </c>
    </row>
    <row r="83" spans="1:9" x14ac:dyDescent="0.25">
      <c r="A83" t="s">
        <v>512</v>
      </c>
      <c r="B83" t="s">
        <v>553</v>
      </c>
      <c r="C83" t="s">
        <v>488</v>
      </c>
      <c r="D83" s="29">
        <v>30377</v>
      </c>
      <c r="E83" t="s">
        <v>489</v>
      </c>
      <c r="F83" s="29">
        <v>13722.2</v>
      </c>
      <c r="G83" s="5" t="s">
        <v>493</v>
      </c>
      <c r="H83" s="38">
        <v>0.5482700727524114</v>
      </c>
      <c r="I83" t="s">
        <v>563</v>
      </c>
    </row>
    <row r="84" spans="1:9" x14ac:dyDescent="0.25">
      <c r="A84" t="s">
        <v>514</v>
      </c>
      <c r="B84" t="s">
        <v>553</v>
      </c>
      <c r="C84" t="s">
        <v>488</v>
      </c>
      <c r="D84" s="29">
        <v>122230</v>
      </c>
      <c r="E84" t="s">
        <v>489</v>
      </c>
      <c r="F84" s="29">
        <v>122229.6</v>
      </c>
      <c r="G84" t="s">
        <v>490</v>
      </c>
      <c r="H84" s="38">
        <v>0.0000032725190214691913</v>
      </c>
      <c r="I84" t="s">
        <v>564</v>
      </c>
    </row>
    <row r="85" spans="1:9" x14ac:dyDescent="0.25">
      <c r="A85" t="s">
        <v>516</v>
      </c>
      <c r="B85" t="s">
        <v>553</v>
      </c>
      <c r="C85" t="s">
        <v>488</v>
      </c>
      <c r="D85" s="29">
        <v>-56205</v>
      </c>
      <c r="E85" t="s">
        <v>489</v>
      </c>
      <c r="F85" s="29">
        <v>-58534.5</v>
      </c>
      <c r="G85" s="5" t="s">
        <v>493</v>
      </c>
      <c r="H85" s="38">
        <v>0.041446490525753936</v>
      </c>
      <c r="I85" t="s">
        <v>565</v>
      </c>
    </row>
    <row r="86" spans="1:9" x14ac:dyDescent="0.25">
      <c r="A86" t="s">
        <v>518</v>
      </c>
      <c r="B86" t="s">
        <v>553</v>
      </c>
      <c r="C86" t="s">
        <v>488</v>
      </c>
      <c r="D86" s="29">
        <v>-52293</v>
      </c>
      <c r="E86" t="s">
        <v>489</v>
      </c>
      <c r="F86" s="29">
        <v>-52292.6</v>
      </c>
      <c r="G86" t="s">
        <v>490</v>
      </c>
      <c r="H86" s="38">
        <v>0.000007649207350916093</v>
      </c>
      <c r="I86" t="s">
        <v>566</v>
      </c>
    </row>
    <row r="87" spans="1:9" x14ac:dyDescent="0.25">
      <c r="A87" t="s">
        <v>520</v>
      </c>
      <c r="B87" t="s">
        <v>553</v>
      </c>
      <c r="C87" t="s">
        <v>488</v>
      </c>
      <c r="D87" s="29">
        <v>-46714</v>
      </c>
      <c r="E87" t="s">
        <v>489</v>
      </c>
      <c r="F87" s="29">
        <v>-46714.2</v>
      </c>
      <c r="G87" t="s">
        <v>490</v>
      </c>
      <c r="H87" s="38">
        <v>0.000004281371751446882</v>
      </c>
      <c r="I87" t="s">
        <v>567</v>
      </c>
    </row>
    <row r="88" spans="1:9" x14ac:dyDescent="0.25">
      <c r="A88" t="s">
        <v>522</v>
      </c>
      <c r="B88" t="s">
        <v>553</v>
      </c>
      <c r="C88" t="s">
        <v>488</v>
      </c>
      <c r="D88" s="29">
        <v>609.4</v>
      </c>
      <c r="E88" t="s">
        <v>489</v>
      </c>
      <c r="F88" s="29">
        <v>609.172</v>
      </c>
      <c r="G88" t="s">
        <v>490</v>
      </c>
      <c r="H88" s="38">
        <v>0.0003741384968821001</v>
      </c>
      <c r="I88" t="s">
        <v>568</v>
      </c>
    </row>
    <row r="89" spans="1:1" x14ac:dyDescent="0.25">
      <c r="A89" s="2" t="s">
        <v>569</v>
      </c>
    </row>
    <row r="91" spans="1:8" x14ac:dyDescent="0.25">
      <c r="A91" s="3" t="s">
        <v>570</v>
      </c>
      <c r="B91" s="4"/>
      <c r="C91" s="4"/>
      <c r="D91" s="4"/>
      <c r="E91" s="4"/>
      <c r="F91" s="4"/>
      <c r="G91" s="4"/>
      <c r="H91" s="4"/>
    </row>
    <row r="92" spans="1:8" x14ac:dyDescent="0.25">
      <c r="A92" s="9" t="s">
        <v>479</v>
      </c>
      <c r="B92" s="10" t="s">
        <v>571</v>
      </c>
      <c r="C92" s="10" t="s">
        <v>572</v>
      </c>
      <c r="D92" s="10" t="s">
        <v>573</v>
      </c>
      <c r="E92" s="10" t="s">
        <v>574</v>
      </c>
      <c r="F92" s="10" t="s">
        <v>575</v>
      </c>
      <c r="G92" s="10" t="s">
        <v>576</v>
      </c>
      <c r="H92" s="10" t="s">
        <v>577</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FormatPr defaultRowHeight="15" outlineLevelRow="0" outlineLevelCol="0" x14ac:dyDescent="55"/>
  <cols>
    <col min="1" max="1" width="56" customWidth="1"/>
    <col min="2" max="2" width="28" customWidth="1"/>
    <col min="3" max="3" width="70" customWidth="1"/>
    <col min="4" max="9" width="18" customWidth="1"/>
  </cols>
  <sheetData>
    <row r="1" spans="1:1" x14ac:dyDescent="0.25">
      <c r="A1" s="1" t="s">
        <v>578</v>
      </c>
    </row>
    <row r="2" spans="1:1" x14ac:dyDescent="0.25">
      <c r="A2" s="2" t="s">
        <v>579</v>
      </c>
    </row>
    <row r="4" spans="1:9" x14ac:dyDescent="0.25">
      <c r="A4" s="3" t="s">
        <v>580</v>
      </c>
      <c r="B4" s="4"/>
      <c r="C4" s="4"/>
      <c r="D4" s="4"/>
      <c r="E4" s="4"/>
      <c r="F4" s="4"/>
      <c r="G4" s="4"/>
      <c r="H4" s="4"/>
      <c r="I4" s="4"/>
    </row>
    <row r="5" spans="1:9" x14ac:dyDescent="0.25">
      <c r="A5" s="9" t="s">
        <v>581</v>
      </c>
      <c r="B5" s="10" t="s">
        <v>57</v>
      </c>
      <c r="C5" s="10" t="s">
        <v>582</v>
      </c>
      <c r="D5" s="10" t="s">
        <v>63</v>
      </c>
      <c r="E5" s="10" t="s">
        <v>6</v>
      </c>
      <c r="F5" s="10" t="s">
        <v>4</v>
      </c>
      <c r="G5" s="10" t="s">
        <v>583</v>
      </c>
      <c r="H5" s="10" t="s">
        <v>584</v>
      </c>
      <c r="I5" s="10" t="s">
        <v>585</v>
      </c>
    </row>
    <row r="6" spans="1:9" x14ac:dyDescent="0.25">
      <c r="A6" s="5" t="s">
        <v>586</v>
      </c>
      <c r="B6" t="s">
        <v>58</v>
      </c>
      <c r="C6" s="15">
        <v>1973.7</v>
      </c>
      <c r="D6" t="s">
        <v>64</v>
      </c>
      <c r="E6" t="s">
        <v>77</v>
      </c>
      <c r="F6" s="15">
        <v>2359.67</v>
      </c>
      <c r="G6">
        <v>0</v>
      </c>
      <c r="H6">
        <v>0</v>
      </c>
      <c r="I6" t="s">
        <v>587</v>
      </c>
    </row>
    <row r="7" spans="1:9" x14ac:dyDescent="0.25">
      <c r="A7" t="s">
        <v>588</v>
      </c>
      <c r="B7" t="s">
        <v>589</v>
      </c>
      <c r="C7" s="15">
        <v>1973.7</v>
      </c>
      <c r="D7" t="s">
        <v>64</v>
      </c>
      <c r="E7" t="s">
        <v>77</v>
      </c>
      <c r="F7" s="15">
        <v>2359.67</v>
      </c>
      <c r="G7" s="15">
        <f>F7-2359.67</f>
        <v>0</v>
      </c>
      <c r="H7" s="13">
        <f>G7/2359.67</f>
        <v>0</v>
      </c>
      <c r="I7" t="s">
        <v>587</v>
      </c>
    </row>
    <row r="8" spans="1:9" x14ac:dyDescent="0.25">
      <c r="A8" t="s">
        <v>590</v>
      </c>
      <c r="B8" t="s">
        <v>591</v>
      </c>
      <c r="C8" s="15">
        <v>1973.7</v>
      </c>
      <c r="D8" t="s">
        <v>64</v>
      </c>
      <c r="E8" t="s">
        <v>77</v>
      </c>
      <c r="F8" s="15">
        <v>2359.67</v>
      </c>
      <c r="G8" s="15">
        <f>F8-2359.67</f>
        <v>0</v>
      </c>
      <c r="H8" s="13">
        <f>G8/2359.67</f>
        <v>0</v>
      </c>
      <c r="I8" t="s">
        <v>587</v>
      </c>
    </row>
    <row r="9" spans="1:9" x14ac:dyDescent="0.25">
      <c r="A9" t="s">
        <v>592</v>
      </c>
      <c r="B9" t="s">
        <v>593</v>
      </c>
      <c r="C9" s="15">
        <v>1973.7</v>
      </c>
      <c r="D9" t="s">
        <v>64</v>
      </c>
      <c r="E9" t="s">
        <v>77</v>
      </c>
      <c r="F9" s="15">
        <v>2359.67</v>
      </c>
      <c r="G9" s="15">
        <f>F9-2359.67</f>
        <v>0</v>
      </c>
      <c r="H9" s="13">
        <f>G9/2359.67</f>
        <v>0</v>
      </c>
      <c r="I9" t="s">
        <v>587</v>
      </c>
    </row>
    <row r="10" spans="1:9" x14ac:dyDescent="0.25">
      <c r="A10" t="s">
        <v>594</v>
      </c>
      <c r="B10" t="s">
        <v>595</v>
      </c>
      <c r="C10" s="15">
        <v>1973.7</v>
      </c>
      <c r="D10" t="s">
        <v>64</v>
      </c>
      <c r="E10" t="s">
        <v>77</v>
      </c>
      <c r="F10" s="15">
        <v>2359.67</v>
      </c>
      <c r="G10" s="15">
        <f>F10-2359.67</f>
        <v>0</v>
      </c>
      <c r="H10" s="13">
        <f>G10/2359.67</f>
        <v>0</v>
      </c>
      <c r="I10" t="s">
        <v>587</v>
      </c>
    </row>
    <row r="11" spans="1:9" x14ac:dyDescent="0.25">
      <c r="A11" t="s">
        <v>596</v>
      </c>
      <c r="B11" t="s">
        <v>597</v>
      </c>
      <c r="C11" s="15">
        <v>1973.7</v>
      </c>
      <c r="D11" t="s">
        <v>64</v>
      </c>
      <c r="E11" t="s">
        <v>77</v>
      </c>
      <c r="F11" s="15">
        <v>2359.67</v>
      </c>
      <c r="G11" s="15">
        <f>F11-2359.67</f>
        <v>0</v>
      </c>
      <c r="H11" s="13">
        <f>G11/2359.67</f>
        <v>0</v>
      </c>
      <c r="I11" t="s">
        <v>587</v>
      </c>
    </row>
    <row r="13" spans="1:9" x14ac:dyDescent="0.25">
      <c r="A13" s="3" t="s">
        <v>598</v>
      </c>
      <c r="B13" s="4"/>
      <c r="C13" s="4"/>
      <c r="D13" s="4"/>
      <c r="E13" s="4"/>
      <c r="F13" s="4"/>
      <c r="G13" s="4"/>
      <c r="H13" s="4"/>
      <c r="I13" s="4"/>
    </row>
    <row r="14" spans="1:1" x14ac:dyDescent="0.25">
      <c r="A14" t="s">
        <v>599</v>
      </c>
    </row>
    <row r="16" spans="1:9" x14ac:dyDescent="0.25">
      <c r="A16" s="3" t="s">
        <v>600</v>
      </c>
      <c r="B16" s="4"/>
      <c r="C16" s="4"/>
      <c r="D16" s="4"/>
      <c r="E16" s="4"/>
      <c r="F16" s="4"/>
      <c r="G16" s="4"/>
      <c r="H16" s="4"/>
      <c r="I16" s="4"/>
    </row>
    <row r="17" spans="1:3" x14ac:dyDescent="0.25">
      <c r="A17" t="s">
        <v>601</v>
      </c>
      <c r="B17" t="s">
        <v>602</v>
      </c>
      <c r="C17" t="s">
        <v>603</v>
      </c>
    </row>
    <row r="18" spans="1:3" x14ac:dyDescent="0.25">
      <c r="A18" t="s">
        <v>601</v>
      </c>
      <c r="B18" t="s">
        <v>604</v>
      </c>
      <c r="C18" t="s">
        <v>605</v>
      </c>
    </row>
    <row r="19" spans="1:1" x14ac:dyDescent="0.25">
      <c r="A19" s="2" t="s">
        <v>606</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pane ySplit="3" topLeftCell="A4" activePane="bottomLeft" state="frozen"/>
      <selection pane="bottomLeft"/>
    </sheetView>
  </sheetViews>
  <sheetFormatPr defaultRowHeight="15" outlineLevelRow="0" outlineLevelCol="0" x14ac:dyDescent="55"/>
  <cols>
    <col min="1" max="1" width="60" customWidth="1"/>
    <col min="2" max="2" width="28" customWidth="1"/>
    <col min="3" max="4" width="30" customWidth="1"/>
    <col min="5" max="5" width="24" customWidth="1"/>
    <col min="6" max="6" width="20" customWidth="1"/>
    <col min="7" max="7" width="70" customWidth="1"/>
    <col min="8" max="8" width="40" customWidth="1"/>
  </cols>
  <sheetData>
    <row r="1" spans="1:1" x14ac:dyDescent="0.25">
      <c r="A1" s="1" t="s">
        <v>607</v>
      </c>
    </row>
    <row r="2" spans="1:1" x14ac:dyDescent="0.25">
      <c r="A2" s="2" t="s">
        <v>608</v>
      </c>
    </row>
    <row r="4" spans="1:8" x14ac:dyDescent="0.25">
      <c r="A4" s="3" t="s">
        <v>609</v>
      </c>
      <c r="B4" s="4"/>
      <c r="C4" s="4"/>
      <c r="D4" s="4"/>
      <c r="E4" s="4"/>
      <c r="F4" s="4"/>
      <c r="G4" s="4"/>
      <c r="H4" s="4"/>
    </row>
    <row r="5" spans="1:10" x14ac:dyDescent="0.25">
      <c r="A5" s="9" t="s">
        <v>610</v>
      </c>
      <c r="B5" s="10" t="s">
        <v>479</v>
      </c>
      <c r="C5" s="10" t="s">
        <v>401</v>
      </c>
      <c r="D5" s="10" t="s">
        <v>190</v>
      </c>
      <c r="E5" s="10" t="s">
        <v>611</v>
      </c>
      <c r="F5" s="10" t="s">
        <v>8</v>
      </c>
      <c r="G5" s="10" t="s">
        <v>612</v>
      </c>
      <c r="H5" s="10" t="s">
        <v>575</v>
      </c>
      <c r="I5" s="10" t="s">
        <v>613</v>
      </c>
      <c r="J5" s="10" t="s">
        <v>614</v>
      </c>
    </row>
    <row r="6" spans="1:10" x14ac:dyDescent="0.25">
      <c r="A6" t="s">
        <v>615</v>
      </c>
      <c r="B6" t="s">
        <v>487</v>
      </c>
      <c r="C6" s="15">
        <v>139145</v>
      </c>
      <c r="D6" t="s">
        <v>616</v>
      </c>
      <c r="E6" t="s">
        <v>617</v>
      </c>
      <c r="F6" t="s">
        <v>618</v>
      </c>
      <c r="G6" t="s">
        <v>89</v>
      </c>
      <c r="H6" t="s">
        <v>25</v>
      </c>
      <c r="I6" t="s">
        <v>25</v>
      </c>
      <c r="J6" t="s">
        <v>619</v>
      </c>
    </row>
    <row r="7" spans="1:10" x14ac:dyDescent="0.25">
      <c r="A7" t="s">
        <v>620</v>
      </c>
      <c r="B7" t="s">
        <v>487</v>
      </c>
      <c r="C7" s="15">
        <v>12287</v>
      </c>
      <c r="D7" t="s">
        <v>616</v>
      </c>
      <c r="E7" t="s">
        <v>617</v>
      </c>
      <c r="F7" t="s">
        <v>618</v>
      </c>
      <c r="G7" t="s">
        <v>89</v>
      </c>
      <c r="H7" t="s">
        <v>25</v>
      </c>
      <c r="I7" t="s">
        <v>25</v>
      </c>
      <c r="J7" t="s">
        <v>25</v>
      </c>
    </row>
    <row r="8" spans="1:10" x14ac:dyDescent="0.25">
      <c r="A8" t="s">
        <v>621</v>
      </c>
      <c r="B8" t="s">
        <v>523</v>
      </c>
      <c r="C8" s="15">
        <v>149982</v>
      </c>
      <c r="D8" t="s">
        <v>616</v>
      </c>
      <c r="E8" t="s">
        <v>617</v>
      </c>
      <c r="F8" t="s">
        <v>618</v>
      </c>
      <c r="G8" t="s">
        <v>89</v>
      </c>
      <c r="H8" t="s">
        <v>25</v>
      </c>
      <c r="I8" t="s">
        <v>25</v>
      </c>
      <c r="J8" t="s">
        <v>619</v>
      </c>
    </row>
    <row r="9" spans="1:10" x14ac:dyDescent="0.25">
      <c r="A9" t="s">
        <v>622</v>
      </c>
      <c r="B9" t="s">
        <v>523</v>
      </c>
      <c r="C9" s="15">
        <v>8558</v>
      </c>
      <c r="D9" t="s">
        <v>616</v>
      </c>
      <c r="E9" t="s">
        <v>617</v>
      </c>
      <c r="F9" t="s">
        <v>618</v>
      </c>
      <c r="G9" t="s">
        <v>89</v>
      </c>
      <c r="H9" t="s">
        <v>25</v>
      </c>
      <c r="I9" t="s">
        <v>25</v>
      </c>
      <c r="J9" t="s">
        <v>25</v>
      </c>
    </row>
    <row r="10" spans="1:10" x14ac:dyDescent="0.25">
      <c r="A10" t="s">
        <v>623</v>
      </c>
      <c r="B10" t="s">
        <v>538</v>
      </c>
      <c r="C10" s="15">
        <v>172985</v>
      </c>
      <c r="D10" t="s">
        <v>616</v>
      </c>
      <c r="E10" t="s">
        <v>617</v>
      </c>
      <c r="F10" t="s">
        <v>618</v>
      </c>
      <c r="G10" t="s">
        <v>89</v>
      </c>
      <c r="H10" t="s">
        <v>25</v>
      </c>
      <c r="I10" t="s">
        <v>25</v>
      </c>
      <c r="J10" t="s">
        <v>619</v>
      </c>
    </row>
    <row r="11" spans="1:10" x14ac:dyDescent="0.25">
      <c r="A11" t="s">
        <v>624</v>
      </c>
      <c r="B11" t="s">
        <v>538</v>
      </c>
      <c r="C11" s="15">
        <v>37481</v>
      </c>
      <c r="D11" t="s">
        <v>616</v>
      </c>
      <c r="E11" t="s">
        <v>617</v>
      </c>
      <c r="F11" t="s">
        <v>618</v>
      </c>
      <c r="G11" t="s">
        <v>89</v>
      </c>
      <c r="H11" t="s">
        <v>25</v>
      </c>
      <c r="I11" t="s">
        <v>25</v>
      </c>
      <c r="J11" t="s">
        <v>25</v>
      </c>
    </row>
    <row r="12" spans="1:10" x14ac:dyDescent="0.25">
      <c r="A12" t="s">
        <v>625</v>
      </c>
      <c r="B12" t="s">
        <v>553</v>
      </c>
      <c r="C12" s="15">
        <v>210973</v>
      </c>
      <c r="D12" t="s">
        <v>616</v>
      </c>
      <c r="E12" t="s">
        <v>617</v>
      </c>
      <c r="F12" t="s">
        <v>618</v>
      </c>
      <c r="G12" t="s">
        <v>89</v>
      </c>
      <c r="H12" t="s">
        <v>25</v>
      </c>
      <c r="I12" t="s">
        <v>25</v>
      </c>
      <c r="J12" t="s">
        <v>619</v>
      </c>
    </row>
    <row r="13" spans="1:10" x14ac:dyDescent="0.25">
      <c r="A13" t="s">
        <v>626</v>
      </c>
      <c r="B13" t="s">
        <v>553</v>
      </c>
      <c r="C13" s="15">
        <v>33823</v>
      </c>
      <c r="D13" t="s">
        <v>616</v>
      </c>
      <c r="E13" t="s">
        <v>617</v>
      </c>
      <c r="F13" t="s">
        <v>618</v>
      </c>
      <c r="G13" t="s">
        <v>89</v>
      </c>
      <c r="H13" t="s">
        <v>25</v>
      </c>
      <c r="I13" t="s">
        <v>25</v>
      </c>
      <c r="J13" t="s">
        <v>25</v>
      </c>
    </row>
    <row r="15" spans="1:8" x14ac:dyDescent="0.25">
      <c r="A15" s="3" t="s">
        <v>627</v>
      </c>
      <c r="B15" s="4"/>
      <c r="C15" s="4"/>
      <c r="D15" s="4"/>
      <c r="E15" s="4"/>
      <c r="F15" s="4"/>
      <c r="G15" s="4"/>
      <c r="H15" s="4"/>
    </row>
    <row r="16" spans="1:7" x14ac:dyDescent="0.25">
      <c r="A16" s="9" t="s">
        <v>400</v>
      </c>
      <c r="B16" s="10" t="s">
        <v>628</v>
      </c>
      <c r="C16" s="10" t="s">
        <v>10</v>
      </c>
      <c r="D16" s="10" t="s">
        <v>629</v>
      </c>
      <c r="E16" s="10" t="s">
        <v>630</v>
      </c>
      <c r="F16" s="10" t="s">
        <v>631</v>
      </c>
      <c r="G16" s="10" t="s">
        <v>404</v>
      </c>
    </row>
    <row r="17" spans="1:7" x14ac:dyDescent="0.25">
      <c r="A17" t="s">
        <v>632</v>
      </c>
      <c r="B17" t="s">
        <v>633</v>
      </c>
      <c r="C17" t="s">
        <v>634</v>
      </c>
      <c r="D17" t="s">
        <v>25</v>
      </c>
      <c r="E17" t="s">
        <v>25</v>
      </c>
      <c r="F17" t="s">
        <v>25</v>
      </c>
      <c r="G17" t="s">
        <v>635</v>
      </c>
    </row>
    <row r="18" spans="1:7" x14ac:dyDescent="0.25">
      <c r="A18" t="s">
        <v>636</v>
      </c>
      <c r="B18" t="s">
        <v>637</v>
      </c>
      <c r="C18" t="s">
        <v>634</v>
      </c>
      <c r="D18" t="s">
        <v>25</v>
      </c>
      <c r="E18" t="s">
        <v>25</v>
      </c>
      <c r="F18" t="s">
        <v>25</v>
      </c>
      <c r="G18" t="s">
        <v>638</v>
      </c>
    </row>
    <row r="19" spans="1:7" x14ac:dyDescent="0.25">
      <c r="A19" t="s">
        <v>639</v>
      </c>
      <c r="B19" t="s">
        <v>640</v>
      </c>
      <c r="C19" t="s">
        <v>634</v>
      </c>
      <c r="D19" t="s">
        <v>25</v>
      </c>
      <c r="E19" t="s">
        <v>25</v>
      </c>
      <c r="F19" t="s">
        <v>25</v>
      </c>
      <c r="G19" t="s">
        <v>641</v>
      </c>
    </row>
    <row r="21" spans="1:8" x14ac:dyDescent="0.25">
      <c r="A21" s="3" t="s">
        <v>642</v>
      </c>
      <c r="B21" s="4"/>
      <c r="C21" s="4"/>
      <c r="D21" s="4"/>
      <c r="E21" s="4"/>
      <c r="F21" s="4"/>
      <c r="G21" s="4"/>
      <c r="H21" s="4"/>
    </row>
    <row r="22" spans="1:1" x14ac:dyDescent="0.25">
      <c r="A22" s="2" t="s">
        <v>643</v>
      </c>
    </row>
    <row r="23" spans="1:5" x14ac:dyDescent="0.25">
      <c r="A23" s="9" t="s">
        <v>644</v>
      </c>
      <c r="B23" s="10" t="s">
        <v>628</v>
      </c>
      <c r="C23" s="10" t="s">
        <v>645</v>
      </c>
      <c r="D23" s="10" t="s">
        <v>646</v>
      </c>
      <c r="E23" s="10" t="s">
        <v>647</v>
      </c>
    </row>
    <row r="24" spans="1:5" x14ac:dyDescent="0.25">
      <c r="A24" t="s">
        <v>648</v>
      </c>
      <c r="B24" t="s">
        <v>649</v>
      </c>
      <c r="C24" t="s">
        <v>650</v>
      </c>
      <c r="D24" t="s">
        <v>255</v>
      </c>
      <c r="E24" t="s">
        <v>651</v>
      </c>
    </row>
    <row r="26" spans="1:8" x14ac:dyDescent="0.25">
      <c r="A26" s="3" t="s">
        <v>652</v>
      </c>
      <c r="B26" s="4"/>
      <c r="C26" s="4"/>
      <c r="D26" s="4"/>
      <c r="E26" s="4"/>
      <c r="F26" s="4"/>
      <c r="G26" s="4"/>
      <c r="H26" s="4"/>
    </row>
    <row r="27" spans="1:2" x14ac:dyDescent="0.25">
      <c r="A27" s="5" t="s">
        <v>653</v>
      </c>
      <c r="B27" t="s">
        <v>654</v>
      </c>
    </row>
    <row r="28" spans="1:2" x14ac:dyDescent="0.25">
      <c r="A28" s="5" t="s">
        <v>59</v>
      </c>
      <c r="B28" t="s">
        <v>60</v>
      </c>
    </row>
    <row r="29" spans="1:2" x14ac:dyDescent="0.25">
      <c r="A29" s="5" t="s">
        <v>78</v>
      </c>
      <c r="B29" t="s">
        <v>79</v>
      </c>
    </row>
    <row r="30" spans="1:2" x14ac:dyDescent="0.25">
      <c r="A30" s="5" t="s">
        <v>6</v>
      </c>
      <c r="B30" t="s">
        <v>77</v>
      </c>
    </row>
    <row r="31" spans="1:2" x14ac:dyDescent="0.25">
      <c r="A31" s="5" t="s">
        <v>655</v>
      </c>
      <c r="B31" t="s">
        <v>656</v>
      </c>
    </row>
    <row r="32" spans="1:2" x14ac:dyDescent="0.25">
      <c r="A32" s="5" t="s">
        <v>8</v>
      </c>
      <c r="B32" t="s">
        <v>9</v>
      </c>
    </row>
    <row r="33" spans="1:2" x14ac:dyDescent="0.25">
      <c r="A33" s="5" t="s">
        <v>657</v>
      </c>
      <c r="B33" t="s">
        <v>345</v>
      </c>
    </row>
    <row r="34" spans="1:3" x14ac:dyDescent="0.25">
      <c r="A34" s="5" t="s">
        <v>658</v>
      </c>
      <c r="B34" t="s">
        <v>243</v>
      </c>
      <c r="C34" t="s">
        <v>245</v>
      </c>
    </row>
    <row r="35" spans="1:3" x14ac:dyDescent="0.25">
      <c r="A35" s="5" t="s">
        <v>658</v>
      </c>
      <c r="B35" t="s">
        <v>246</v>
      </c>
      <c r="C35" t="s">
        <v>247</v>
      </c>
    </row>
    <row r="36" spans="1:3" x14ac:dyDescent="0.25">
      <c r="A36" s="5" t="s">
        <v>658</v>
      </c>
      <c r="B36" t="s">
        <v>248</v>
      </c>
      <c r="C36" t="s">
        <v>249</v>
      </c>
    </row>
    <row r="37" spans="1:3" x14ac:dyDescent="0.25">
      <c r="A37" s="5" t="s">
        <v>658</v>
      </c>
      <c r="B37" t="s">
        <v>250</v>
      </c>
      <c r="C37" t="s">
        <v>251</v>
      </c>
    </row>
    <row r="38" spans="1:2" x14ac:dyDescent="0.25">
      <c r="A38" s="5" t="s">
        <v>659</v>
      </c>
      <c r="B38" t="s">
        <v>660</v>
      </c>
    </row>
    <row r="40" spans="1:8" x14ac:dyDescent="0.25">
      <c r="A40" s="3" t="s">
        <v>661</v>
      </c>
      <c r="B40" s="4"/>
      <c r="C40" s="4"/>
      <c r="D40" s="4"/>
      <c r="E40" s="4"/>
      <c r="F40" s="4"/>
      <c r="G40" s="4"/>
      <c r="H40" s="4"/>
    </row>
    <row r="41" spans="1:1" x14ac:dyDescent="0.25">
      <c r="A41" s="2" t="s">
        <v>662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FormatPr defaultRowHeight="15" outlineLevelRow="0" outlineLevelCol="0" x14ac:dyDescent="55"/>
  <cols>
    <col min="1" max="1" width="48" customWidth="1"/>
    <col min="2" max="7" width="16" customWidth="1"/>
  </cols>
  <sheetData>
    <row r="1" spans="1:1" x14ac:dyDescent="0.25">
      <c r="A1" s="1" t="s">
        <v>663</v>
      </c>
    </row>
    <row r="2" spans="1:1" x14ac:dyDescent="0.25">
      <c r="A2" s="2" t="s">
        <v>664</v>
      </c>
    </row>
    <row r="4" spans="1:6" x14ac:dyDescent="0.25">
      <c r="A4" s="3" t="s">
        <v>665</v>
      </c>
      <c r="B4" s="4"/>
      <c r="C4" s="4"/>
      <c r="D4" s="4"/>
      <c r="E4" s="4"/>
      <c r="F4" s="4"/>
    </row>
    <row r="5" spans="1:6" x14ac:dyDescent="0.25">
      <c r="A5" s="9" t="s">
        <v>666</v>
      </c>
      <c r="B5" s="10" t="s">
        <v>667</v>
      </c>
      <c r="C5" s="10" t="s">
        <v>668</v>
      </c>
      <c r="D5" s="10" t="s">
        <v>669</v>
      </c>
      <c r="E5" s="10" t="s">
        <v>670</v>
      </c>
      <c r="F5" s="10" t="s">
        <v>671</v>
      </c>
    </row>
    <row r="6" spans="1:6" x14ac:dyDescent="0.25">
      <c r="A6" t="s">
        <v>672</v>
      </c>
      <c r="B6" s="35">
        <v>257.61085145830316</v>
      </c>
      <c r="C6" s="35">
        <v>901.42487115811</v>
      </c>
      <c r="D6" s="17">
        <v>3218</v>
      </c>
      <c r="E6" s="37">
        <v>16.09</v>
      </c>
      <c r="F6" s="37">
        <f>SUM(E6:E6)</f>
        <v>16.09</v>
      </c>
    </row>
    <row r="7" spans="1:6" x14ac:dyDescent="0.25">
      <c r="A7" t="s">
        <v>673</v>
      </c>
      <c r="B7" s="35">
        <v>901.42487115811</v>
      </c>
      <c r="C7" s="35">
        <v>1545.2388908579169</v>
      </c>
      <c r="D7" s="17">
        <v>9143</v>
      </c>
      <c r="E7" s="37">
        <v>45.715</v>
      </c>
      <c r="F7" s="37">
        <f>SUM(E6:E7)</f>
        <v>61.80500000000001</v>
      </c>
    </row>
    <row r="8" spans="1:6" x14ac:dyDescent="0.25">
      <c r="A8" t="s">
        <v>674</v>
      </c>
      <c r="B8" s="35">
        <v>1545.2388908579169</v>
      </c>
      <c r="C8" s="35">
        <v>2189.052910557724</v>
      </c>
      <c r="D8" s="17">
        <v>5344</v>
      </c>
      <c r="E8" s="37">
        <v>26.72</v>
      </c>
      <c r="F8" s="37">
        <f>SUM(E6:E8)</f>
        <v>88.525</v>
      </c>
    </row>
    <row r="9" spans="1:6" x14ac:dyDescent="0.25">
      <c r="A9" t="s">
        <v>675</v>
      </c>
      <c r="B9" s="35">
        <v>2189.0529105577234</v>
      </c>
      <c r="C9" s="35">
        <v>2832.8669302575304</v>
      </c>
      <c r="D9" s="17">
        <v>1680</v>
      </c>
      <c r="E9" s="37">
        <v>8.4</v>
      </c>
      <c r="F9" s="37">
        <f>SUM(E6:E9)</f>
        <v>96.92500000000001</v>
      </c>
    </row>
    <row r="10" spans="1:6" x14ac:dyDescent="0.25">
      <c r="A10" t="s">
        <v>676</v>
      </c>
      <c r="B10" s="35">
        <v>2832.866930257531</v>
      </c>
      <c r="C10" s="35">
        <v>3476.680949957338</v>
      </c>
      <c r="D10" s="17">
        <v>449</v>
      </c>
      <c r="E10" s="37">
        <v>2.245</v>
      </c>
      <c r="F10" s="37">
        <f>SUM(E6:E10)</f>
        <v>99.17000000000002</v>
      </c>
    </row>
    <row r="11" spans="1:6" x14ac:dyDescent="0.25">
      <c r="A11" t="s">
        <v>677</v>
      </c>
      <c r="B11" s="35">
        <v>3476.6809499573374</v>
      </c>
      <c r="C11" s="35">
        <v>4120.494969657144</v>
      </c>
      <c r="D11" s="17">
        <v>117</v>
      </c>
      <c r="E11" s="37">
        <v>0.585</v>
      </c>
      <c r="F11" s="37">
        <f>SUM(E6:E11)</f>
        <v>99.75500000000001</v>
      </c>
    </row>
    <row r="12" spans="1:6" x14ac:dyDescent="0.25">
      <c r="A12" t="s">
        <v>678</v>
      </c>
      <c r="B12" s="35">
        <v>4120.494969657144</v>
      </c>
      <c r="C12" s="35">
        <v>4764.30898935695</v>
      </c>
      <c r="D12" s="17">
        <v>34</v>
      </c>
      <c r="E12" s="37">
        <v>0.16999999999999998</v>
      </c>
      <c r="F12" s="37">
        <f>SUM(E6:E12)</f>
        <v>99.92500000000001</v>
      </c>
    </row>
    <row r="13" spans="1:6" x14ac:dyDescent="0.25">
      <c r="A13" t="s">
        <v>679</v>
      </c>
      <c r="B13" s="35">
        <v>4764.308989356951</v>
      </c>
      <c r="C13" s="35">
        <v>5408.123009056758</v>
      </c>
      <c r="D13" s="17">
        <v>9</v>
      </c>
      <c r="E13" s="37">
        <v>0.045</v>
      </c>
      <c r="F13" s="37">
        <f>SUM(E6:E13)</f>
        <v>99.97000000000001</v>
      </c>
    </row>
    <row r="14" spans="1:6" x14ac:dyDescent="0.25">
      <c r="A14" t="s">
        <v>680</v>
      </c>
      <c r="B14" s="35">
        <v>5408.123009056758</v>
      </c>
      <c r="C14" s="35">
        <v>6051.937028756564</v>
      </c>
      <c r="D14" s="17">
        <v>3</v>
      </c>
      <c r="E14" s="37">
        <v>0.015</v>
      </c>
      <c r="F14" s="37">
        <f>SUM(E6:E14)</f>
        <v>99.98500000000001</v>
      </c>
    </row>
    <row r="15" spans="1:6" x14ac:dyDescent="0.25">
      <c r="A15" t="s">
        <v>681</v>
      </c>
      <c r="B15" s="35">
        <v>6051.937028756564</v>
      </c>
      <c r="C15" s="35">
        <v>6695.751048456372</v>
      </c>
      <c r="D15" s="17">
        <v>3</v>
      </c>
      <c r="E15" s="37">
        <v>0.015</v>
      </c>
      <c r="F15" s="37">
        <f>SUM(E6:E15)</f>
        <v>100.00000000000001</v>
      </c>
    </row>
    <row r="18" spans="1:6" x14ac:dyDescent="0.25">
      <c r="A18" s="3" t="s">
        <v>682</v>
      </c>
      <c r="B18" s="4"/>
      <c r="C18" s="4"/>
      <c r="D18" s="4"/>
      <c r="E18" s="4"/>
      <c r="F18" s="4"/>
    </row>
    <row r="19" spans="1:5" x14ac:dyDescent="0.25">
      <c r="A19" s="9" t="s">
        <v>176</v>
      </c>
      <c r="B19" s="10" t="s">
        <v>683</v>
      </c>
      <c r="C19" s="10" t="s">
        <v>684</v>
      </c>
      <c r="D19" s="10" t="s">
        <v>685</v>
      </c>
      <c r="E19" s="10" t="s">
        <v>686</v>
      </c>
    </row>
    <row r="20" spans="1:5" x14ac:dyDescent="0.25">
      <c r="A20" t="s">
        <v>687</v>
      </c>
      <c r="B20" s="17">
        <v>1</v>
      </c>
      <c r="C20" s="17">
        <v>68</v>
      </c>
      <c r="D20" s="30">
        <v>-0.014</v>
      </c>
      <c r="E20" t="s">
        <v>688</v>
      </c>
    </row>
    <row r="21" spans="1:5" x14ac:dyDescent="0.25">
      <c r="A21" t="s">
        <v>689</v>
      </c>
      <c r="B21" s="17">
        <v>2</v>
      </c>
      <c r="C21" s="17">
        <v>30</v>
      </c>
      <c r="D21" s="30">
        <v>0.009</v>
      </c>
      <c r="E21" t="s">
        <v>690</v>
      </c>
    </row>
    <row r="22" spans="1:5" x14ac:dyDescent="0.25">
      <c r="A22" t="s">
        <v>691</v>
      </c>
      <c r="B22" s="17">
        <v>3</v>
      </c>
      <c r="C22" s="17">
        <v>2</v>
      </c>
      <c r="D22" s="30">
        <v>0.003</v>
      </c>
      <c r="E22" t="s">
        <v>692</v>
      </c>
    </row>
    <row r="23" spans="1:5" x14ac:dyDescent="0.25">
      <c r="A23" t="s">
        <v>693</v>
      </c>
      <c r="B23" s="17">
        <v>4</v>
      </c>
      <c r="C23" s="17">
        <v>0</v>
      </c>
      <c r="D23" s="30">
        <v>0.001</v>
      </c>
      <c r="E23" t="s">
        <v>694</v>
      </c>
    </row>
    <row r="26" spans="1:7" x14ac:dyDescent="0.25">
      <c r="A26" s="3" t="s">
        <v>695</v>
      </c>
      <c r="B26" s="4"/>
      <c r="C26" s="4"/>
      <c r="D26" s="4"/>
      <c r="E26" s="4"/>
      <c r="F26" s="4"/>
      <c r="G26" s="4"/>
    </row>
    <row r="27" spans="1:6" x14ac:dyDescent="0.25">
      <c r="A27" s="9" t="s">
        <v>696</v>
      </c>
      <c r="B27" s="10" t="s">
        <v>18</v>
      </c>
      <c r="C27" s="10" t="s">
        <v>19</v>
      </c>
      <c r="D27" s="10" t="s">
        <v>20</v>
      </c>
      <c r="E27" s="10" t="s">
        <v>21</v>
      </c>
      <c r="F27" s="10" t="s">
        <v>22</v>
      </c>
    </row>
    <row r="28" spans="1:6" x14ac:dyDescent="0.25">
      <c r="A28" t="s">
        <v>697</v>
      </c>
      <c r="B28" s="29">
        <v>17418.4</v>
      </c>
      <c r="C28" s="29">
        <v>20736.7</v>
      </c>
      <c r="D28" s="29">
        <v>24401</v>
      </c>
      <c r="E28" s="29">
        <v>28245.5</v>
      </c>
      <c r="F28" s="29">
        <v>32136.2</v>
      </c>
    </row>
    <row r="29" spans="1:6" x14ac:dyDescent="0.25">
      <c r="A29" t="s">
        <v>311</v>
      </c>
      <c r="B29" s="29">
        <v>24448.4</v>
      </c>
      <c r="C29" s="29">
        <v>28440.5</v>
      </c>
      <c r="D29" s="29">
        <v>32776.3</v>
      </c>
      <c r="E29" s="29">
        <v>37326</v>
      </c>
      <c r="F29" s="29">
        <v>42189.1</v>
      </c>
    </row>
    <row r="30" spans="1:6" x14ac:dyDescent="0.25">
      <c r="A30" t="s">
        <v>312</v>
      </c>
      <c r="B30" s="29">
        <v>29431.5</v>
      </c>
      <c r="C30" s="29">
        <v>33636</v>
      </c>
      <c r="D30" s="29">
        <v>38485.3</v>
      </c>
      <c r="E30" s="29">
        <v>43844.5</v>
      </c>
      <c r="F30" s="29">
        <v>49943.5</v>
      </c>
    </row>
    <row r="31" spans="1:6" x14ac:dyDescent="0.25">
      <c r="A31" t="s">
        <v>313</v>
      </c>
      <c r="B31" s="29">
        <v>34094.7</v>
      </c>
      <c r="C31" s="29">
        <v>38700.1</v>
      </c>
      <c r="D31" s="29">
        <v>44132.1</v>
      </c>
      <c r="E31" s="29">
        <v>50655.5</v>
      </c>
      <c r="F31" s="29">
        <v>58634</v>
      </c>
    </row>
    <row r="32" spans="1:6" x14ac:dyDescent="0.25">
      <c r="A32" t="s">
        <v>314</v>
      </c>
      <c r="B32" s="29">
        <v>40674.5</v>
      </c>
      <c r="C32" s="29">
        <v>45502.1</v>
      </c>
      <c r="D32" s="29">
        <v>52245.7</v>
      </c>
      <c r="E32" s="29">
        <v>61410.1</v>
      </c>
      <c r="F32" s="29">
        <v>73153.5</v>
      </c>
    </row>
    <row r="33" spans="1:6" x14ac:dyDescent="0.25">
      <c r="A33" s="5" t="s">
        <v>698</v>
      </c>
      <c r="B33" s="29">
        <v>33069</v>
      </c>
      <c r="C33" s="29">
        <v>61379</v>
      </c>
      <c r="D33" s="29">
        <v>68594</v>
      </c>
      <c r="E33" s="29">
        <v>77156</v>
      </c>
      <c r="F33" s="29">
        <v>87228</v>
      </c>
    </row>
    <row r="36" spans="1:6" x14ac:dyDescent="0.25">
      <c r="A36" s="3" t="s">
        <v>699</v>
      </c>
      <c r="B36" s="4"/>
      <c r="C36" s="4"/>
      <c r="D36" s="4"/>
      <c r="E36" s="4"/>
      <c r="F36" s="4"/>
    </row>
    <row r="37" spans="1:6" x14ac:dyDescent="0.25">
      <c r="A37" s="9" t="s">
        <v>196</v>
      </c>
      <c r="B37" s="10" t="s">
        <v>222</v>
      </c>
      <c r="C37" s="10" t="s">
        <v>223</v>
      </c>
      <c r="D37" s="10" t="s">
        <v>224</v>
      </c>
      <c r="E37" s="10" t="s">
        <v>225</v>
      </c>
      <c r="F37" s="10" t="s">
        <v>226</v>
      </c>
    </row>
    <row r="38" spans="1:6" x14ac:dyDescent="0.25">
      <c r="A38" t="s">
        <v>227</v>
      </c>
      <c r="B38" s="15">
        <v>2171</v>
      </c>
      <c r="C38" s="15">
        <v>2359.67</v>
      </c>
      <c r="D38" s="15">
        <v>2596</v>
      </c>
      <c r="E38" s="17">
        <v>100</v>
      </c>
      <c r="F38" t="s">
        <v>228</v>
      </c>
    </row>
    <row r="39" spans="1:6" x14ac:dyDescent="0.25">
      <c r="A39" t="s">
        <v>229</v>
      </c>
      <c r="B39" s="15">
        <v>1837</v>
      </c>
      <c r="C39" s="15">
        <v>2040.61</v>
      </c>
      <c r="D39" s="15">
        <v>2285</v>
      </c>
      <c r="E39" s="17">
        <v>0</v>
      </c>
      <c r="F39" t="s">
        <v>230</v>
      </c>
    </row>
    <row r="40" spans="1:6" x14ac:dyDescent="0.25">
      <c r="A40" t="s">
        <v>231</v>
      </c>
      <c r="B40" s="15">
        <v>2216</v>
      </c>
      <c r="C40" s="15">
        <v>2517.69</v>
      </c>
      <c r="D40" s="15">
        <v>2895</v>
      </c>
      <c r="E40" s="17">
        <v>0</v>
      </c>
      <c r="F40" t="s">
        <v>230</v>
      </c>
    </row>
    <row r="41" spans="1:6" x14ac:dyDescent="0.25">
      <c r="A41" t="s">
        <v>232</v>
      </c>
      <c r="B41" s="15">
        <v>1289</v>
      </c>
      <c r="C41" s="15">
        <v>1431.96</v>
      </c>
      <c r="D41" s="15">
        <v>1575</v>
      </c>
      <c r="E41" s="17">
        <v>0</v>
      </c>
      <c r="F41" t="s">
        <v>230</v>
      </c>
    </row>
  </sheetData>
  <pageMargins left="0.7" right="0.7" top="0.75" bottom="0.75" header="0.3" footer="0.3"/>
  <pageSetup orientation="portrait" horizontalDpi="4294967295" verticalDpi="4294967295" scale="100" fitToWidth="1" fitToHeight="1"/>
  <drawing r:id="rIdDrawing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Income Statement</vt:lpstr>
      <vt:lpstr>Balance Sheet</vt:lpstr>
      <vt:lpstr>Cash Flow</vt:lpstr>
      <vt:lpstr>Operating Drivers</vt:lpstr>
      <vt:lpstr>Valuation</vt:lpstr>
      <vt:lpstr>Peers</vt:lpstr>
      <vt:lpstr>Scenarios &amp; Assumptions</vt:lpstr>
      <vt:lpstr>Quarterly</vt:lpstr>
      <vt:lpstr>Common Size</vt:lpstr>
      <vt:lpstr>Schedules</vt:lpstr>
      <vt:lpstr>Facts</vt:lpstr>
      <vt:lpstr>Change Log</vt:lpstr>
      <vt:lpstr>Source Audit</vt:lpstr>
      <vt:lpstr>Chart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ASTRA Financial Model</dc:creator>
  <dc:title/>
  <dc:subject/>
  <dc:description/>
  <cp:keywords/>
  <cp:category/>
  <cp:lastModifiedBy>Unknown</cp:lastModifiedBy>
  <dcterms:created xsi:type="dcterms:W3CDTF">2026-11-01T14:58:13Z</dcterms:created>
  <dcterms:modified xsi:type="dcterms:W3CDTF">2026-11-01T14:58:13Z</dcterms:modified>
</cp:coreProperties>
</file>