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FairValuePerShare">Valuation!$B$6</definedName>
    <definedName name="CurrentPrice">Valuation!$B$7</definedName>
    <definedName name="UpsidePct">Valuation!$B$8</definedName>
    <definedName name="SnapshotId">Summary!$B$38</definedName>
    <definedName name="SnapshotHash">Summary!$B$39</definedName>
    <definedName name="Years_Header">'Income Statement'!$B$4:$I$4</definedName>
    <definedName name="Revenue_Series">'Income Statement'!$B$5:$I$5</definedName>
    <definedName name="EBITDA_Series">'Income Statement'!$B$10:$I$10</definedName>
    <definedName name="NetIncome_Series">'Income Statement'!$B$20:$I$20</definedName>
    <definedName name="EPS_Series">'Income Statement'!$B$25:$I$25</definedName>
    <definedName name="CFO_Series">'Cash Flow'!$B$13:$I$13</definedName>
    <definedName name="Capex_Series">'Cash Flow'!$B$15:$I$15</definedName>
  </definedNames>
  <calcPr calcId="171027" fullCalcOnLoad="1"/>
</workbook>
</file>

<file path=xl/sharedStrings.xml><?xml version="1.0" encoding="utf-8"?>
<sst xmlns="http://schemas.openxmlformats.org/spreadsheetml/2006/main" count="2347" uniqueCount="622">
  <si>
    <t>HDFC Bank Limited (HDFCBANK.NS)</t>
  </si>
  <si>
    <t>Commercial Banking Institution . NSE . base period FY26 . ₹ Crores unless stated</t>
  </si>
  <si>
    <t>VALUATION AND DECISION</t>
  </si>
  <si>
    <t>Current price (INR)</t>
  </si>
  <si>
    <t>Fair value per share (INR)</t>
  </si>
  <si>
    <t>Upside / (downside)</t>
  </si>
  <si>
    <t>Primary method</t>
  </si>
  <si>
    <t>RESIDUAL_INCOME_PB - Multi-Stage Residual Income (100%)</t>
  </si>
  <si>
    <t>Confidence</t>
  </si>
  <si>
    <t>HIGH</t>
  </si>
  <si>
    <t>Status</t>
  </si>
  <si>
    <t>Commercial Banking Institution valued via RESIDUAL_INCOME_PB. 54/54 accounting invariants passed; reasonableness verdict ECONOMICALLY_SOUND.</t>
  </si>
  <si>
    <t>KEY FINANCIALS (₹ Crores)</t>
  </si>
  <si>
    <t>Source sheet</t>
  </si>
  <si>
    <t>FY24A</t>
  </si>
  <si>
    <t>FY25A</t>
  </si>
  <si>
    <t>FY26A</t>
  </si>
  <si>
    <t>FY27E</t>
  </si>
  <si>
    <t>FY28E</t>
  </si>
  <si>
    <t>FY29E</t>
  </si>
  <si>
    <t>FY30E</t>
  </si>
  <si>
    <t>FY31E</t>
  </si>
  <si>
    <t>Revenue from operations</t>
  </si>
  <si>
    <t>Income Statement</t>
  </si>
  <si>
    <t>n/a</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</si>
  <si>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</si>
  <si>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</si>
  <si>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</si>
  <si>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</si>
  <si>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</si>
  <si>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</si>
  <si>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</si>
  <si>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</si>
  <si>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</si>
  <si>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</si>
  <si>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</si>
  <si>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</si>
  <si>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</si>
  <si>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</si>
  <si>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P/B</t>
  </si>
  <si>
    <t>ROE</t>
  </si>
  <si>
    <t>RISKS AND INVALIDATORS</t>
  </si>
  <si>
    <t>- Withheld: DCF cross-check</t>
  </si>
  <si>
    <t>- Withheld: Segment analysis</t>
  </si>
  <si>
    <t>- Withheld: Line-by-line statutory statements</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</si>
  <si>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</si>
  <si>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</si>
  <si>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</si>
  <si>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</si>
  <si>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snap_HDFCBANK_NS_ff054d29d13d</t>
  </si>
  <si>
    <t>Snapshot SHA-256</t>
  </si>
  <si>
    <t>ff054d29d13dddfc9d2e1136cddc4dc83b2eaa2d80ee6e8af71d39c722fe5784</t>
  </si>
  <si>
    <t>Built at</t>
  </si>
  <si>
    <t>2026-11-01T14:57:59.137Z</t>
  </si>
  <si>
    <t>Analysis status</t>
  </si>
  <si>
    <t>SUCCESS</t>
  </si>
  <si>
    <t>Price</t>
  </si>
  <si>
    <t>INR 692.8</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</si>
  <si>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</si>
  <si>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</si>
  <si>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</si>
  <si>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</si>
  <si>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</si>
  <si>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</si>
  <si>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</si>
  <si>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</si>
  <si>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</si>
  <si>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</si>
  <si>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</si>
  <si>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</si>
  <si>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</si>
  <si>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UNAVAILABLE</t>
  </si>
  <si>
    <t>RESIDUAL_INCOME_PB</t>
  </si>
  <si>
    <t>Valuation status</t>
  </si>
  <si>
    <t>VALID</t>
  </si>
  <si>
    <t>Fair value per share</t>
  </si>
  <si>
    <t>420.32</t>
  </si>
  <si>
    <t>Upside / (downside) %</t>
  </si>
  <si>
    <t>-39.33</t>
  </si>
  <si>
    <t>v1 formula-trace coverage % (a different measure from "figures that reconcile" in the run-status table)</t>
  </si>
  <si>
    <t>0</t>
  </si>
  <si>
    <t>Audit status / test status</t>
  </si>
  <si>
    <t>FLAGGED / NOT_EVALUATED</t>
  </si>
  <si>
    <t>Source documents</t>
  </si>
  <si>
    <t>https://nsearchives.nseindia.com/corporate/xbrl/BANKING_104624_1105245_21042024035835.xml | https://nsearchives.nseindia.com/corporate/xbrl/INTEGRATED_FILING_BANKING_1420333_19042025104215_WEB.xml | https://nsearchives.nseindia.com/corporate/xbrl/INTEGRATED_FILING_BANKING_1654391_18042026073048_WEB.xml</t>
  </si>
  <si>
    <t>Income Statement (₹ Crores)</t>
  </si>
  <si>
    <t>HDFC Bank Limited (HDFCBANK.NS) . Consolidated . base period FY26 . LENDER/INSURER: generic operating layout, total income shown as revenue, lines do not foot; see Lender Statements</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</si>
  <si>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</si>
  <si>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</si>
  <si>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</si>
  <si>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</si>
  <si>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</si>
  <si>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</si>
  <si>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</si>
  <si>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</si>
  <si>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</si>
  <si>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</si>
  <si>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</si>
  <si>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</si>
  <si>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</si>
  <si>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</si>
  <si>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</si>
  <si>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</si>
  <si>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</si>
  <si>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</si>
  <si>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</si>
  <si>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</si>
  <si>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</si>
  <si>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HDFC Bank Limited (HDFCBANK.NS) . Consolidated . base period FY26</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</si>
  <si>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</si>
  <si>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</si>
  <si>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</si>
  <si>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</si>
  <si>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</si>
  <si>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</si>
  <si>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</si>
  <si>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</si>
  <si>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</si>
  <si>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</si>
  <si>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</si>
  <si>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</si>
  <si>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</si>
  <si>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</si>
  <si>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</si>
  <si>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</si>
  <si>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</si>
  <si>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</si>
  <si>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</si>
  <si>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</si>
  <si>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</si>
  <si>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</si>
  <si>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</si>
  <si>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</si>
  <si>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</si>
  <si>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</si>
  <si>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</si>
  <si>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</si>
  <si>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</si>
  <si>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</si>
  <si>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</si>
  <si>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</si>
  <si>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</si>
  <si>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</si>
  <si>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</si>
  <si>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</si>
  <si>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</si>
  <si>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</si>
  <si>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</si>
  <si>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</si>
  <si>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</si>
  <si>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</si>
  <si>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</si>
  <si>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</si>
  <si>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</si>
  <si>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</si>
  <si>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</si>
  <si>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</si>
  <si>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</si>
  <si>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</si>
  <si>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</si>
  <si>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</si>
  <si>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</si>
  <si>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</si>
  <si>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</si>
  <si>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</si>
  <si>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</si>
  <si>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</si>
  <si>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</si>
  <si>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</si>
  <si>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</si>
  <si>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Not applicable as a valuation input for a regulated financial: its operating cash flow includes deposit and loan flows.</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</si>
  <si>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</si>
  <si>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</si>
  <si>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</si>
  <si>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Unit</t>
  </si>
  <si>
    <t>History (reported / derived)</t>
  </si>
  <si>
    <t>FY27E (model)</t>
  </si>
  <si>
    <t>FY28E (model)</t>
  </si>
  <si>
    <t>FY29E (model)</t>
  </si>
  <si>
    <t>FY30E (model)</t>
  </si>
  <si>
    <t>FY31E (model)</t>
  </si>
  <si>
    <t>Tag</t>
  </si>
  <si>
    <t>Why this value</t>
  </si>
  <si>
    <t>Loan growth</t>
  </si>
  <si>
    <t>% per year</t>
  </si>
  <si>
    <t>policy (no history series)</t>
  </si>
  <si>
    <t>DERIVED</t>
  </si>
  <si>
    <t>MEDIUM</t>
  </si>
  <si>
    <t>History-derived value; no override applied.</t>
  </si>
  <si>
    <t>Deposit growth</t>
  </si>
  <si>
    <t>Yield on assets</t>
  </si>
  <si>
    <t>% of average assets</t>
  </si>
  <si>
    <t>Cost of funds</t>
  </si>
  <si>
    <t>% of average funding</t>
  </si>
  <si>
    <t>Cost-to-income</t>
  </si>
  <si>
    <t>% of net revenue</t>
  </si>
  <si>
    <t>Credit cost</t>
  </si>
  <si>
    <t>% of average loans</t>
  </si>
  <si>
    <t>Dividend payout</t>
  </si>
  <si>
    <t>ratio of profit</t>
  </si>
  <si>
    <t>Effective tax rate</t>
  </si>
  <si>
    <t>% of PBT</t>
  </si>
  <si>
    <t>Revenue driver (provenance of the topline)</t>
  </si>
  <si>
    <t>Basis</t>
  </si>
  <si>
    <t>DERIVED_FROM_STATEMENTS</t>
  </si>
  <si>
    <t>INR Cr / INR per share</t>
  </si>
  <si>
    <t>Provenance</t>
  </si>
  <si>
    <t>Advances (loan book) x book value per share</t>
  </si>
  <si>
    <t>Valuation</t>
  </si>
  <si>
    <t>One primary method, routed by the company's economics; the rest are cross-checks and are never averaged into it. A withheld valuation states why and publishes no value.</t>
  </si>
  <si>
    <t>PRIMARY VALUATION</t>
  </si>
  <si>
    <t>Method</t>
  </si>
  <si>
    <t>Confidence of the primary method as stated by the model (HIGH).</t>
  </si>
  <si>
    <t>Price basis</t>
  </si>
  <si>
    <t>NSE official close of 2026-10-30</t>
  </si>
  <si>
    <t>METHOD RANGES (INR per share) -- cross-checks beside the primary method</t>
  </si>
  <si>
    <t>Low</t>
  </si>
  <si>
    <t>Base</t>
  </si>
  <si>
    <t>High</t>
  </si>
  <si>
    <t>Weight %</t>
  </si>
  <si>
    <t>Role</t>
  </si>
  <si>
    <t>Multi-Stage Residual Income (12.45% Ke, 5.0% g)</t>
  </si>
  <si>
    <t>PRIMARY</t>
  </si>
  <si>
    <t>Fundamental Justified P/B (13.0% stable ROE -&gt; 1.08x P/B)</t>
  </si>
  <si>
    <t>cross-check</t>
  </si>
  <si>
    <t>Dividend Discount Model (22% forecast payout, 62% sustainable terminal payout)</t>
  </si>
  <si>
    <t>MARKET CROSS-CHECKS</t>
  </si>
  <si>
    <t>Trading comparables (implied price)</t>
  </si>
  <si>
    <t>consolidated trading comps are not the method for this archetype (RESIDUAL_INCOME_PB); segment peers are shown inside the SOTP</t>
  </si>
  <si>
    <t>Reverse valuation (what the price implies)</t>
  </si>
  <si>
    <t>AVAILABLE</t>
  </si>
  <si>
    <t>At 692.80 the market pays +64.8% against the model's 420.32. Cost of equity at which the forecast is worth the market price: 9.7972% (published 12.45%); Multiple of the forecast profit path the market price requires: 1.4709x (published 1x); Terminal growth at which the forecast is worth the market price: 11.7788% (published 5%). This describes market EXPECTATIONS, not fair value.</t>
  </si>
  <si>
    <t>NOT MEASURED -- stated, bounded where a bound exists, never filled</t>
  </si>
  <si>
    <t>Item</t>
  </si>
  <si>
    <t>Direction</t>
  </si>
  <si>
    <t>Bound (INR/share)</t>
  </si>
  <si>
    <t>Why</t>
  </si>
  <si>
    <t>DCF cross-check</t>
  </si>
  <si>
    <t>withheld</t>
  </si>
  <si>
    <t>Not eligible by methodology: valuation methodology routes this archetype (BANK) to RESIDUAL_INCOME_PB and prohibits the consolidated FCFF DCF . It is not forced to populate a sheet, and no DCF stance is published.</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</si>
  <si>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</si>
  <si>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</si>
  <si>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</si>
  <si>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</si>
  <si>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</si>
  <si>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</si>
  <si>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3 peer(s) . analyst-defined BANK universe, subject excluded</t>
  </si>
  <si>
    <t>Private-sector Indian banks only: a public-sector bank trades on a different book multiple for reasons that are not a private bank's fundamentals.</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</si>
  <si>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</si>
  <si>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</si>
  <si>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</si>
  <si>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Div. yield %</t>
  </si>
  <si>
    <t>ROE %</t>
  </si>
  <si>
    <t>HDFCBANK.NS (subject)</t>
  </si>
  <si>
    <t>subject</t>
  </si>
  <si>
    <t>AXISBANK.NS</t>
  </si>
  <si>
    <t>HIGH (4/4)</t>
  </si>
  <si>
    <t>ICICIBANK.NS</t>
  </si>
  <si>
    <t>KOTAKBANK.NS</t>
  </si>
  <si>
    <t>25th percentile</t>
  </si>
  <si>
    <t>75th percentile</t>
  </si>
  <si>
    <t>Mean</t>
  </si>
  <si>
    <t>Peers used (n)</t>
  </si>
  <si>
    <t>Sample state</t>
  </si>
  <si>
    <t>LOW SAMPLE</t>
  </si>
  <si>
    <t>Subject vs median (%)</t>
  </si>
  <si>
    <t>Not applicable here: EV/EBITDA, EV/EBIT, EV/Sales, FCF yield, FCFE yield, ROIC, EBITDA margin, FCF margin, CFO / EBITDA, Cash conversion (FCF / PAT), EBITDA growth (latest FY), FCF growth (latest FY), FCF CAGR (3y), Net debt / EBITDA, Debt / equity, Interest coverage (regulated financial: EV/EBITDA is not defined for it).</t>
  </si>
  <si>
    <t>Measured vs median: P/E -3.8x . P/B -0.6x . Dividend yield +1.7pp . ROE +1.6pp . ROA -0.2pp . Revenue growth (latest FY) -1.1pp . EPS growth (latest FY) +13.0pp</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</si>
  <si>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</si>
  <si>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</si>
  <si>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</si>
  <si>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</si>
  <si>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ASSUMPTIONS APPLIED</t>
  </si>
  <si>
    <t>Base case: no user override. Every driver is the history-derived recommendation or a disclosed model policy.</t>
  </si>
  <si>
    <t>WACC (%)</t>
  </si>
  <si>
    <t>Risk-free rate (%)</t>
  </si>
  <si>
    <t>Beta</t>
  </si>
  <si>
    <t>Equity risk premium (%)</t>
  </si>
  <si>
    <t>Cost of equity (%)</t>
  </si>
  <si>
    <t>After-tax cost of debt (%)</t>
  </si>
  <si>
    <t>Terminal growth (%)</t>
  </si>
  <si>
    <t>Discount rate used by the primary method. Risk-free source: Reserve Bank of India 10-Yr G-Sec Benchmark Yield (7.10 GS 2034) (dated reference snapshot as of 2026-08-28) (REFERENCE_SNAPSHOT).</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</si>
  <si>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</si>
  <si>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</si>
  <si>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</si>
  <si>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</si>
  <si>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</si>
  <si>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</si>
  <si>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DCF cross-check -- Not eligible by methodology: valuation methodology routes this archetype (BANK) to RESIDUAL_INCOME_PB and prohibits the consolidated FCFF DCF . It is not forced to populate a sheet, and no DCF stance is published.</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</si>
  <si>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</si>
  <si>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</si>
  <si>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DATA LEGEND</t>
  </si>
  <si>
    <t>REPORTED</t>
  </si>
  <si>
    <t>Read from an audited filing or a statutory disclosure, unchanged.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</si>
  <si>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</si>
  <si>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</si>
  <si>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</si>
  <si>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</si>
  <si>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</si>
  <si>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</si>
  <si>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</si>
  <si>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</si>
  <si>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</si>
  <si>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</si>
  <si>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</si>
  <si>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</si>
  <si>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</si>
  <si>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</si>
  <si>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</si>
  <si>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</si>
  <si>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</si>
  <si>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</si>
  <si>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</si>
  <si>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</si>
  <si>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</si>
  <si>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</si>
  <si>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</si>
  <si>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</si>
  <si>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</si>
  <si>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</si>
  <si>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</si>
  <si>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</si>
  <si>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</si>
  <si>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</si>
  <si>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</si>
  <si>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</si>
  <si>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</si>
  <si>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</si>
  <si>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</si>
  <si>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</si>
  <si>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</si>
  <si>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</si>
  <si>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</si>
  <si>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</si>
  <si>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</si>
  <si>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</si>
  <si>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</si>
  <si>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</si>
  <si>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</si>
  <si>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</si>
  <si>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</si>
  <si>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</si>
  <si>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</si>
  <si>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</si>
  <si>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</si>
  <si>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</si>
  <si>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</si>
  <si>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FORENSIC SCREENS (engine output; a screen flags, it does not prove)</t>
  </si>
  <si>
    <t>Altman Z (variant )</t>
  </si>
  <si>
    <t>n/a.</t>
  </si>
  <si>
    <t>Piotroski F-score (of 9)</t>
  </si>
  <si>
    <t>Beneish M-score</t>
  </si>
  <si>
    <t>n/a (threshold n/a).</t>
  </si>
  <si>
    <t>Forensic audit complete: Overall Health: UNAVAILABLE | Altman Z: N/A (N/A) | Piotroski F: N/A/9 | Beneish M: N/A (N/A).</t>
  </si>
  <si>
    <t>ACCOUNTING QUALITY (verdict UNAVAILABLE)</t>
  </si>
  <si>
    <t>Check</t>
  </si>
  <si>
    <t>Value</t>
  </si>
  <si>
    <t>Flag</t>
  </si>
  <si>
    <t>Threshold</t>
  </si>
  <si>
    <t>Detail</t>
  </si>
  <si>
    <t>CASH_CONVERSION</t>
  </si>
  <si>
    <t>NOT_APPLICABLE</t>
  </si>
  <si>
    <t>RED &lt; 0.5, CAUTION &lt; 0.8</t>
  </si>
  <si>
    <t>Not applicable to a regulated balance-sheet financial: its operating cash flow and working capital are movements in its lending or underwriting book.</t>
  </si>
  <si>
    <t>ACCRUALS</t>
  </si>
  <si>
    <t>RED &gt; 0.1, CAUTION &gt; 0.05</t>
  </si>
  <si>
    <t>RECEIVABLES_VS_SALES</t>
  </si>
  <si>
    <t>CAUTION when tradeReceivables CAGR exceeds revenue CAGR by &gt; 10pp</t>
  </si>
  <si>
    <t>INVENTORY_VS_SALES</t>
  </si>
  <si>
    <t>CAUTION when inventories CAGR exceeds revenue CAGR by &gt; 10pp</t>
  </si>
  <si>
    <t>NON_CORE_RELIANCE</t>
  </si>
  <si>
    <t>CAUTION when other income &gt; 30% of PBT</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</si>
  <si>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</si>
  <si>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</si>
  <si>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</si>
  <si>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</si>
  <si>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</si>
  <si>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</si>
  <si>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</si>
  <si>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</si>
  <si>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</si>
  <si>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</si>
  <si>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</si>
  <si>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</si>
  <si>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</si>
  <si>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</si>
  <si>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</si>
  <si>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</si>
  <si>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</si>
  <si>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</si>
  <si>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</si>
  <si>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</si>
  <si>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</si>
  <si>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</si>
  <si>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</si>
  <si>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</si>
  <si>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</si>
  <si>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</si>
  <si>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</si>
  <si>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</si>
  <si>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</si>
  <si>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</si>
  <si>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</si>
  <si>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</si>
  <si>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</si>
  <si>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LENDER SCHEDULE: filed lines (INR crore) and derived ratios</t>
  </si>
  <si>
    <t>Interest income</t>
  </si>
  <si>
    <t>Interest expense</t>
  </si>
  <si>
    <t>Non-interest income</t>
  </si>
  <si>
    <t>Operating expenses</t>
  </si>
  <si>
    <t>Provisions and contingencies</t>
  </si>
  <si>
    <t>Net profit</t>
  </si>
  <si>
    <t>Advances</t>
  </si>
  <si>
    <t>Deposits</t>
  </si>
  <si>
    <t>Borrowings</t>
  </si>
  <si>
    <t>Book equity</t>
  </si>
  <si>
    <t>Net interest income / total assets</t>
  </si>
  <si>
    <t>Cost-to-income (opex / (net interest income + non-interest income))</t>
  </si>
  <si>
    <t>Provisions / advances (credit-cost proxy)</t>
  </si>
  <si>
    <t>Advances / deposits</t>
  </si>
  <si>
    <t>Book equity / total assets</t>
  </si>
  <si>
    <t>Return on closing book equity</t>
  </si>
  <si>
    <t>Ratios are simple quotients of the filed lines above, on closing balances; they are not the regulatory ratios (NIM, GNPA, CRAR) the issuer reports in its own disclosures.</t>
  </si>
  <si>
    <t>SECTOR SCHEDULE (BANK)</t>
  </si>
  <si>
    <t>Sector template</t>
  </si>
  <si>
    <t>Generic Operating Business</t>
  </si>
  <si>
    <t>Primary revenue method</t>
  </si>
  <si>
    <t>historical_trend_fallback</t>
  </si>
  <si>
    <t>Key drivers</t>
  </si>
  <si>
    <t>revenueGrowth; ebitdaMargin; capexPercentOfRevenue; workingCapitalRatio</t>
  </si>
  <si>
    <t>Typical gross-margin range</t>
  </si>
  <si>
    <t>[0.25,0.5]</t>
  </si>
  <si>
    <t>Typical opex ratio range</t>
  </si>
  <si>
    <t>[0.1,0.25]</t>
  </si>
  <si>
    <t>Life-cycle stage</t>
  </si>
  <si>
    <t>MATURE_GROWTH</t>
  </si>
  <si>
    <t>Cyclicality</t>
  </si>
  <si>
    <t>{"status":"UNAVAILABLE","reason":"INSUFFICIENT_HISTORY","detail":"Cyclicality needs at least 5 usable periods to distinguish a cycle from a trend; 0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</si>
  <si>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</si>
  <si>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</si>
  <si>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</si>
  <si>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NSE_LENDER_XBRL_STATUTORY; a primary filing; policy 2026-09-30.1)</t>
  </si>
  <si>
    <t>Rows 60: 2 agree, 19 conflict, 0 second source unavailable, 39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</si>
  <si>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</si>
  <si>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</si>
  <si>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</si>
  <si>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</si>
  <si>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</si>
  <si>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</si>
  <si>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</si>
  <si>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</si>
  <si>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</si>
  <si>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FY24</t>
  </si>
  <si>
    <t>NSE_LENDER_XBRL_STATUTORY</t>
  </si>
  <si>
    <t>YAHOO_INDIA</t>
  </si>
  <si>
    <t>CONFLICT</t>
  </si>
  <si>
    <t>407994.8 (NSE_LENDER_XBRL_STATUTORY)</t>
  </si>
  <si>
    <t>NOT_COMPARABLE</t>
  </si>
  <si>
    <t>null (null)</t>
  </si>
  <si>
    <t>AGREE</t>
  </si>
  <si>
    <t>154138.6 (NSE_LENDER_XBRL_STATUTORY)</t>
  </si>
  <si>
    <t>75184.1 (NSE_LENDER_XBRL_STATUTORY)</t>
  </si>
  <si>
    <t>Tax expense</t>
  </si>
  <si>
    <t>11122.1 (NSE_LENDER_XBRL_STATUTORY)</t>
  </si>
  <si>
    <t>Profit for the period (total, incl. NCI)</t>
  </si>
  <si>
    <t>64062 (NSE_LENDER_XBRL_STATUTORY)</t>
  </si>
  <si>
    <t>Profit attributable to owners</t>
  </si>
  <si>
    <t>Diluted EPS (as filed, unrestated)</t>
  </si>
  <si>
    <t>4030194.3 (NSE_LENDER_XBRL_STATUTORY)</t>
  </si>
  <si>
    <t>Total equity (incl. NCI)</t>
  </si>
  <si>
    <t>Equity attributable to owners</t>
  </si>
  <si>
    <t>453742.5 (NSE_LENDER_XBRL_STATUTORY)</t>
  </si>
  <si>
    <t>Equity share capital (paid-up value)</t>
  </si>
  <si>
    <t>Borrowings (non-current)</t>
  </si>
  <si>
    <t>Borrowings (current)</t>
  </si>
  <si>
    <t>Cash and cash equivalents</t>
  </si>
  <si>
    <t>Cash flow from operations</t>
  </si>
  <si>
    <t>Cash flow from investing</t>
  </si>
  <si>
    <t>Cash flow from financing</t>
  </si>
  <si>
    <t>Capital expenditure (magnitude)</t>
  </si>
  <si>
    <t>Share count</t>
  </si>
  <si>
    <t>FY25</t>
  </si>
  <si>
    <t>470915.9 (NSE_LENDER_XBRL_STATUTORY)</t>
  </si>
  <si>
    <t>183894.2 (NSE_LENDER_XBRL_STATUTORY)</t>
  </si>
  <si>
    <t>93594.1 (NSE_LENDER_XBRL_STATUTORY)</t>
  </si>
  <si>
    <t>22801.9 (NSE_LENDER_XBRL_STATUTORY)</t>
  </si>
  <si>
    <t>68144.3 (NSE_LENDER_XBRL_STATUTORY)</t>
  </si>
  <si>
    <t>4392417.4 (NSE_LENDER_XBRL_STATUTORY)</t>
  </si>
  <si>
    <t>517984.2 (NSE_LENDER_XBRL_STATUTORY)</t>
  </si>
  <si>
    <t>FY26</t>
  </si>
  <si>
    <t>495462.9 (NSE_LENDER_XBRL_STATUTORY)</t>
  </si>
  <si>
    <t>185491.2 (NSE_LENDER_XBRL_STATUTORY)</t>
  </si>
  <si>
    <t>98948 (NSE_LENDER_XBRL_STATUTORY)</t>
  </si>
  <si>
    <t>22922 (NSE_LENDER_XBRL_STATUTORY)</t>
  </si>
  <si>
    <t>76026 (NSE_LENDER_XBRL_STATUTORY)</t>
  </si>
  <si>
    <t>4908040.8 (NSE_LENDER_XBRL_STATUTORY)</t>
  </si>
  <si>
    <t>581514.4 (NSE_LENDER_XBRL_STATUTORY)</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</si>
  <si>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</si>
  <si>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</si>
  <si>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</si>
  <si>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</si>
  <si>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</si>
  <si>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</si>
  <si>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</si>
  <si>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</si>
  <si>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</si>
  <si>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</si>
  <si>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</si>
  <si>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</si>
  <si>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</si>
  <si>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</si>
  <si>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</si>
  <si>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</si>
  <si>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</si>
  <si>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snap_HDFCBANK_NS_ff054d29d13d  &lt;- THIS WORKBOOK</t>
  </si>
  <si>
    <t>74234e98afe7</t>
  </si>
  <si>
    <t>snap_HDFCBANK_NS_c17e6b2cbffe</t>
  </si>
  <si>
    <t>2026-11-01T14:57:59.049Z</t>
  </si>
  <si>
    <t>snap_HDFCBANK_NS_5ad9eb62a347</t>
  </si>
  <si>
    <t>2026-11-01T14:55:59.931Z</t>
  </si>
  <si>
    <t>snap_HDFCBANK_NS_40a45718408b</t>
  </si>
  <si>
    <t>2026-11-01T14:55:59.818Z</t>
  </si>
  <si>
    <t>snap_HDFCBANK_NS_241a207c6b4b</t>
  </si>
  <si>
    <t>2026-11-01T14:52:21.257Z</t>
  </si>
  <si>
    <t>snap_HDFCBANK_NS_0df2a09d7a3f</t>
  </si>
  <si>
    <t>2026-11-01T14:52:21.156Z</t>
  </si>
  <si>
    <t>OVERRIDES APPLIED TO THIS WORKBOOK</t>
  </si>
  <si>
    <t>None: this is the base case (every driver is history-derived or a disclosed model policy).</t>
  </si>
  <si>
    <t>RESTATEMENTS, PERIOD BREAKS AND SOURCE CONFLICTS IN THE DATA</t>
  </si>
  <si>
    <t>Diagnostic WARNING</t>
  </si>
  <si>
    <t>WARN_LOW_QUALITY_CAPEX_ASSUMPTION</t>
  </si>
  <si>
    <t>Low quality CapEx assumption for 'HDFCBANK.NS'. Direct statement CapEx omitted by provider; defaulted to 3.5% fallback intensity.</t>
  </si>
  <si>
    <t>Diagnostic INFO</t>
  </si>
  <si>
    <t>INFO_ROIC_INAPPLICABLE</t>
  </si>
  <si>
    <t>INAPPLICABLE_MODEL: return on invested capital is not defined for 'HDFCBANK.NS', a regulated lender. Its balance sheet carries no corporate invested capital, and its terminal value is derived from residual income.</t>
  </si>
  <si>
    <t>WARN_HIST_IS_PAT_BRIDGE</t>
  </si>
  <si>
    <t>HIST_IS_PAT_BRIDGE: FY25: PBT 93,594 - tax 22,802 = 70,792, net income reported 68,144, 2,648 below it (unexplained: discontinued operations / minority / associates not itemised)</t>
  </si>
  <si>
    <t>WARN_SHARE_BASIS_RESTATED</t>
  </si>
  <si>
    <t>Statement share count 760 vs current 1542 (2.029x), consistent with a bonus or split. Per-share history restated onto the current count: FY26 EPS 100.03 -&gt; 49.3.</t>
  </si>
  <si>
    <t>19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</si>
  <si>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</si>
  <si>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</si>
  <si>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(6 sourced figures)</t>
  </si>
  <si>
    <t>Line item</t>
  </si>
  <si>
    <t>Type</t>
  </si>
  <si>
    <t>Source filing</t>
  </si>
  <si>
    <t>sha256 of the stored filing</t>
  </si>
  <si>
    <t>Basis note</t>
  </si>
  <si>
    <t>Revenue (FY24)</t>
  </si>
  <si>
    <t>Crores</t>
  </si>
  <si>
    <t>Reported / Audited</t>
  </si>
  <si>
    <t>NSE Reg-33 audited annual results (banking format), HDFCBANK FY24, Consolidated</t>
  </si>
  <si>
    <t>https://nsearchives.nseindia.com/corporate/xbrl/BANKING_104624_1105245_21042024035835.xml</t>
  </si>
  <si>
    <t>Net Income / PAT (FY24)</t>
  </si>
  <si>
    <t>Revenue (FY25)</t>
  </si>
  <si>
    <t>NSE Reg-33 audited annual results (banking format), HDFCBANK FY25, Consolidated</t>
  </si>
  <si>
    <t>https://nsearchives.nseindia.com/corporate/xbrl/INTEGRATED_FILING_BANKING_1420333_19042025104215_WEB.xml</t>
  </si>
  <si>
    <t>Net Income / PAT (FY25)</t>
  </si>
  <si>
    <t>Revenue (FY26)</t>
  </si>
  <si>
    <t>NSE Reg-33 audited annual results (banking format), HDFCBANK FY26, Consolidated</t>
  </si>
  <si>
    <t>https://nsearchives.nseindia.com/corporate/xbrl/INTEGRATED_FILING_BANKING_1654391_18042026073048_WEB.xml</t>
  </si>
  <si>
    <t>Net Income / PAT (FY26)</t>
  </si>
  <si>
    <t>ACCOUNTING AND RECALCULATION CHECKS (14 run; 14 pass; 0 not a plain pass, all shown first)</t>
  </si>
  <si>
    <t>Scope</t>
  </si>
  <si>
    <t>Computed</t>
  </si>
  <si>
    <t>Reported</t>
  </si>
  <si>
    <t>Difference</t>
  </si>
  <si>
    <t>Balance sheet balances in every forecast year</t>
  </si>
  <si>
    <t>PASS</t>
  </si>
  <si>
    <t>assets - (deposits + borrowings + other liabilities + equity) = 0 from the published lines, with no balancing line</t>
  </si>
  <si>
    <t>Cash-flow closing liquidity = balance-sheet liquidity</t>
  </si>
  <si>
    <t>the cash flow ends on the liquidity and investment line of the balance sheet</t>
  </si>
  <si>
    <t>Each year's opening liquidity = the prior year's closing</t>
  </si>
  <si>
    <t>opening and closing liquidity chain across the forecast</t>
  </si>
  <si>
    <t>Change in liquidity = operations - dividends + net borrowing</t>
  </si>
  <si>
    <t>the cash-flow sections sum to the change in liquidity</t>
  </si>
  <si>
    <t>Closing liquidity = opening + change in liquidity</t>
  </si>
  <si>
    <t>liquidity rolls by the cash flow</t>
  </si>
  <si>
    <t>Equity rolls forward by profit - dividends</t>
  </si>
  <si>
    <t>equity moves only by retained profit (clean surplus)</t>
  </si>
  <si>
    <t>Pre-provision profit - provisions - tax = profit</t>
  </si>
  <si>
    <t>no unexplained reconciling item between pre-provision profit and profit</t>
  </si>
  <si>
    <t>Net interest income + non-interest income = net revenue</t>
  </si>
  <si>
    <t>revenue is built from its two parts</t>
  </si>
  <si>
    <t>The model publishes no balancing line</t>
  </si>
  <si>
    <t>the share of assets absorbed by a balancing line is nil in every year</t>
  </si>
  <si>
    <t>Liquidity as the balance-sheet residual = liquidity from the cash flow</t>
  </si>
  <si>
    <t>with every other line fixed, the cash flow lands on exactly the liquidity the balance sheet needs</t>
  </si>
  <si>
    <t>Borrowings and liquidity are never negative</t>
  </si>
  <si>
    <t>a funding shortfall is withheld by the model, not published as negative borrowings or negative liquidity</t>
  </si>
  <si>
    <t>No DCF stance without a DCF</t>
  </si>
  <si>
    <t>VALUATION</t>
  </si>
  <si>
    <t>no DCF ran and no stance is published</t>
  </si>
  <si>
    <t>No bonus / split is classified as economic dilution</t>
  </si>
  <si>
    <t>HISTORICAL</t>
  </si>
  <si>
    <t>no share-count events</t>
  </si>
  <si>
    <t>Canonical v1 accounting invariants</t>
  </si>
  <si>
    <t>Critical Integrity Checks</t>
  </si>
  <si>
    <t>All canonical v1 accounting invariants hold across every projected period.</t>
  </si>
  <si>
    <t>PEER SELECTION (status AVAILABLE)</t>
  </si>
  <si>
    <t>Peer set</t>
  </si>
  <si>
    <t>Selection rule</t>
  </si>
  <si>
    <t>Rationale</t>
  </si>
  <si>
    <t>Members</t>
  </si>
  <si>
    <t>Whole-company comparable set</t>
  </si>
  <si>
    <t>COMPANY</t>
  </si>
  <si>
    <t>analyst-defined BANK universe, subject excluded</t>
  </si>
  <si>
    <t>AXISBANK.NS, ICICIBANK.NS, KOTAKBANK.NS</t>
  </si>
  <si>
    <t>PUBLICATION STATE AND LIMITS</t>
  </si>
  <si>
    <t>Statement perimeter</t>
  </si>
  <si>
    <t>Consolidated</t>
  </si>
  <si>
    <t>Model package status</t>
  </si>
  <si>
    <t>EXECUTED_WITHHELD</t>
  </si>
  <si>
    <t>Peer intelligence</t>
  </si>
  <si>
    <t>Withheld / not measured</t>
  </si>
  <si>
    <t>SAVED RECORD AND VERIFIER RECEIPTS</t>
  </si>
  <si>
    <t>This snapshot's saved record (provenance, publication states, discrepancies, peer selection, limits and every verifier receipt) is kept by FMB beside the exported files: GET /api/export/snapshot/snap_HDFCBANK_NS_ff054d29d13d/record.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</si>
  <si>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</si>
  <si>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</si>
  <si>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charts</t>
  </si>
  <si>
    <t>Not drawn: no Monte Carlo was published for this issuer. A distribution is not invented where the engine withheld one.</t>
  </si>
  <si>
    <t>FOOTBALL FIELD: value per share by method (INR); the primary method is never averaged with the cross-checks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</si>
</sst>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Red]-0.0%"/>
    <numFmt numFmtId="165" formatCode="#,##0.0;[Red]-#,##0.0"/>
    <numFmt numFmtId="166" formatCode="0.0&quot;x&quot;"/>
    <numFmt numFmtId="167" formatCode="0.0"/>
    <numFmt numFmtId="168" formatCode="0.0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16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5" fontId="4" fillId="0" borderId="0" xfId="0" applyNumberFormat="1" applyFont="1"/>
    <xf numFmtId="0" fontId="4" fillId="4" borderId="0" xfId="0" applyFont="1" applyFill="1"/>
    <xf numFmtId="0" fontId="0" fillId="4" borderId="0" xfId="0" applyFill="1"/>
    <xf numFmtId="4" fontId="0" fillId="0" borderId="0" xfId="0" applyNumberFormat="1"/>
    <xf numFmtId="166" fontId="0" fillId="0" borderId="0" xfId="0" applyNumberFormat="1"/>
    <xf numFmtId="166" fontId="4" fillId="0" borderId="0" xfId="0" applyNumberFormat="1" applyFont="1"/>
    <xf numFmtId="1" fontId="0" fillId="0" borderId="0" xfId="0" applyNumberFormat="1"/>
    <xf numFmtId="167" fontId="0" fillId="0" borderId="0" xfId="0" applyNumberFormat="1"/>
    <xf numFmtId="167" fontId="4" fillId="0" borderId="0" xfId="0" applyNumberFormat="1" applyFont="1"/>
    <xf numFmtId="165" fontId="4" fillId="0" borderId="1" xfId="0" applyNumberFormat="1" applyFont="1" applyBorder="1"/>
    <xf numFmtId="0" fontId="4" fillId="4" borderId="1" xfId="0" applyFont="1" applyFill="1" applyBorder="1"/>
    <xf numFmtId="0" fontId="0" fillId="0" borderId="1" xfId="0" applyBorder="1"/>
    <xf numFmtId="164" fontId="0" fillId="0" borderId="1" xfId="0" applyNumberFormat="1" applyBorder="1"/>
    <xf numFmtId="0" fontId="0" fillId="4" borderId="1" xfId="0" applyFill="1" applyBorder="1"/>
    <xf numFmtId="0" fontId="4" fillId="0" borderId="1" xfId="0" applyFont="1" applyBorder="1"/>
    <xf numFmtId="165" fontId="0" fillId="0" borderId="1" xfId="0" applyNumberFormat="1" applyBorder="1"/>
    <xf numFmtId="4" fontId="0" fillId="0" borderId="1" xfId="0" applyNumberFormat="1" applyBorder="1"/>
    <xf numFmtId="4" fontId="4" fillId="0" borderId="1" xfId="0" applyNumberFormat="1" applyFont="1" applyBorder="1"/>
    <xf numFmtId="0" fontId="4" fillId="5" borderId="0" xfId="0" applyFont="1" applyFill="1"/>
    <xf numFmtId="166" fontId="4" fillId="5" borderId="0" xfId="0" applyNumberFormat="1" applyFont="1" applyFill="1"/>
    <xf numFmtId="167" fontId="4" fillId="5" borderId="0" xfId="0" applyNumberFormat="1" applyFont="1" applyFill="1"/>
    <xf numFmtId="2" fontId="0" fillId="0" borderId="0" xfId="0" applyNumberFormat="1"/>
    <xf numFmtId="168" fontId="0" fillId="0" borderId="0" xfId="0" applyNumberFormat="1"/>
    <xf numFmtId="164" fontId="0" fillId="0" borderId="0" xfId="0" applyNumberFormat="1"/>
    <xf numFmtId="165"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'Summary'!$C$15:$J$15</c:f>
              <c:numCache>
                <c:formatCode>#,##0</c:formatCode>
                <c:ptCount val="8"/>
                <c:pt idx="0">
                  <c:v>407994.8</c:v>
                </c:pt>
                <c:pt idx="1">
                  <c:v>470915.9</c:v>
                </c:pt>
                <c:pt idx="2">
                  <c:v>495462.9</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'Summary'!$C$17:$J$17</c:f>
              <c:numCache>
                <c:formatCode>0%</c:formatCode>
                <c:ptCount val="8"/>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'Summary'!$C$20:$J$20</c:f>
              <c:numCache>
                <c:formatCode>#,##0</c:formatCode>
                <c:ptCount val="8"/>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Football field: base value per share by method (INR)</a:t>
            </a:r>
          </a:p>
        </c:rich>
      </c:tx>
      <c:layout/>
    </c:title>
    <c:autoTitleDeleted val="0"/>
    <c:plotArea>
      <c:layout/>
      <c:barChart>
        <c:barDir val="col"/>
        <c:grouping val="clustered"/>
        <c:overlap val="-20"/>
        <c:gapWidth val="150"/>
        <c:ser>
          <c:idx val="0"/>
          <c:order val="0"/>
          <c:tx>
            <c:v>Base</c:v>
          </c:tx>
          <c:cat>
            <c:strRef>
              <c:f>'Chart Data'!$A$9:$A$11</c:f>
              <c:strCache>
                <c:ptCount val="3"/>
                <c:pt idx="0">
                  <c:v>Multi-Stage Residual Income (12.45% Ke, 5.0% g)</c:v>
                </c:pt>
                <c:pt idx="1">
                  <c:v>Fundamental Justified P/B (13.0% stable ROE -&gt; 1.08x P/B)</c:v>
                </c:pt>
                <c:pt idx="2">
                  <c:v>Dividend Discount Model (22% forecast payout, 62% sustainable terminal payout)</c:v>
                </c:pt>
              </c:strCache>
            </c:strRef>
          </c:cat>
          <c:val>
            <c:numRef>
              <c:f>'Chart Data'!$C$9:$C$11</c:f>
              <c:numCache>
                <c:formatCode>#,##0</c:formatCode>
                <c:ptCount val="3"/>
                <c:pt idx="0">
                  <c:v>420.32</c:v>
                </c:pt>
                <c:pt idx="1">
                  <c:v>405.84</c:v>
                </c:pt>
                <c:pt idx="2">
                  <c:v>403.99</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 Id="rIdChart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0</xdr:col>
      <xdr:colOff>0</xdr:colOff>
      <xdr:row>37</xdr:row>
      <xdr:rowOff>0</xdr:rowOff>
    </xdr:from>
    <xdr:to>
      <xdr:col>5</xdr:col>
      <xdr:colOff>0</xdr:colOff>
      <xdr:row>53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37</xdr:row>
      <xdr:rowOff>0</xdr:rowOff>
    </xdr:from>
    <xdr:to>
      <xdr:col>11</xdr:col>
      <xdr:colOff>0</xdr:colOff>
      <xdr:row>53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54</xdr:row>
      <xdr:rowOff>0</xdr:rowOff>
    </xdr:from>
    <xdr:to>
      <xdr:col>5</xdr:col>
      <xdr:colOff>0</xdr:colOff>
      <xdr:row>70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0</xdr:rowOff>
    </xdr:from>
    <xdr:to>
      <xdr:col>17</xdr:col>
      <xdr:colOff>0</xdr:colOff>
      <xdr:row>19</xdr:row>
      <xdr:rowOff>0</xdr:rowOff>
    </xdr:to>
    <xdr:graphicFrame macro="">
      <xdr:nvGraphicFramePr>
        <xdr:cNvPr id="2"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0"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692.8</v>
      </c>
    </row>
    <row r="7" spans="1:2" x14ac:dyDescent="0.25">
      <c r="A7" s="5" t="s">
        <v>4</v>
      </c>
      <c r="B7" s="6">
        <f>'Valuation'!B6</f>
        <v>420.32</v>
      </c>
    </row>
    <row r="8" spans="1:2" x14ac:dyDescent="0.25">
      <c r="A8" s="5" t="s">
        <v>5</v>
      </c>
      <c r="B8" s="7">
        <f>'Valuation'!B8</f>
        <v>-0.39330254041570434</v>
      </c>
    </row>
    <row r="9" spans="1:2" x14ac:dyDescent="0.25">
      <c r="A9" s="5" t="s">
        <v>6</v>
      </c>
      <c r="B9" t="s">
        <v>7</v>
      </c>
    </row>
    <row r="10" spans="1:2" x14ac:dyDescent="0.25">
      <c r="A10" s="5" t="s">
        <v>8</v>
      </c>
      <c r="B10" t="s">
        <v>9</v>
      </c>
    </row>
    <row r="11" ht="30" customHeight="1" spans="1:8" x14ac:dyDescent="0.25">
      <c r="A11" s="5" t="s">
        <v>10</v>
      </c>
      <c r="B11" s="8" t="s">
        <v>11</v>
      </c>
      <c r="C11" s="8"/>
      <c r="D11" s="8"/>
      <c r="E11" s="8"/>
      <c r="F11" s="8"/>
      <c r="G11" s="8"/>
      <c r="H11" s="8"/>
    </row>
    <row r="13" spans="1:10" x14ac:dyDescent="0.25">
      <c r="A13" s="3" t="s">
        <v>12</v>
      </c>
      <c r="B13" s="4"/>
      <c r="C13" s="4"/>
      <c r="D13" s="4"/>
      <c r="E13" s="4"/>
      <c r="F13" s="4"/>
      <c r="G13" s="4"/>
      <c r="H13" s="4"/>
      <c r="I13" s="4"/>
      <c r="J13" s="4"/>
    </row>
    <row r="14" spans="1:10" x14ac:dyDescent="0.25">
      <c r="A14" s="9"/>
      <c r="B14" s="10" t="s">
        <v>13</v>
      </c>
      <c r="C14" s="10" t="s">
        <v>14</v>
      </c>
      <c r="D14" s="10" t="s">
        <v>15</v>
      </c>
      <c r="E14" s="10" t="s">
        <v>16</v>
      </c>
      <c r="F14" s="10" t="s">
        <v>17</v>
      </c>
      <c r="G14" s="10" t="s">
        <v>18</v>
      </c>
      <c r="H14" s="10" t="s">
        <v>19</v>
      </c>
      <c r="I14" s="10" t="s">
        <v>20</v>
      </c>
      <c r="J14" s="10" t="s">
        <v>21</v>
      </c>
    </row>
    <row r="15" spans="1:10" x14ac:dyDescent="0.25">
      <c r="A15" s="5" t="s">
        <v>22</v>
      </c>
      <c r="B15" s="2" t="s">
        <v>23</v>
      </c>
      <c r="C15" s="11">
        <f>'Income Statement'!B5</f>
        <v>407994.8</v>
      </c>
      <c r="D15" s="11">
        <f>'Income Statement'!C5</f>
        <v>470915.9</v>
      </c>
      <c r="E15" s="11">
        <f>'Income Statement'!D5</f>
        <v>495462.9</v>
      </c>
      <c r="F15" s="12" t="s">
        <v>24</v>
      </c>
      <c r="G15" s="12" t="s">
        <v>24</v>
      </c>
      <c r="H15" s="12" t="s">
        <v>24</v>
      </c>
      <c r="I15" s="12" t="s">
        <v>24</v>
      </c>
      <c r="J15" s="12" t="s">
        <v>24</v>
      </c>
    </row>
    <row r="16" spans="1:10" x14ac:dyDescent="0.25">
      <c r="A16" s="5" t="s">
        <v>25</v>
      </c>
      <c r="B16" s="2" t="s">
        <v>23</v>
      </c>
      <c r="C16" s="5" t="s">
        <v>24</v>
      </c>
      <c r="D16" s="5" t="s">
        <v>24</v>
      </c>
      <c r="E16" s="5" t="s">
        <v>24</v>
      </c>
      <c r="F16" s="12" t="s">
        <v>24</v>
      </c>
      <c r="G16" s="12" t="s">
        <v>24</v>
      </c>
      <c r="H16" s="12" t="s">
        <v>24</v>
      </c>
      <c r="I16" s="12" t="s">
        <v>24</v>
      </c>
      <c r="J16" s="12" t="s">
        <v>24</v>
      </c>
    </row>
    <row r="17" spans="1:10" x14ac:dyDescent="0.25">
      <c r="A17" t="s">
        <v>26</v>
      </c>
      <c r="B17" s="2" t="s">
        <v>23</v>
      </c>
      <c r="C17" t="s">
        <v>24</v>
      </c>
      <c r="D17" t="s">
        <v>24</v>
      </c>
      <c r="E17" t="s">
        <v>24</v>
      </c>
      <c r="F17" s="13" t="s">
        <v>24</v>
      </c>
      <c r="G17" s="13" t="s">
        <v>24</v>
      </c>
      <c r="H17" s="13" t="s">
        <v>24</v>
      </c>
      <c r="I17" s="13" t="s">
        <v>24</v>
      </c>
      <c r="J17" s="13" t="s">
        <v>24</v>
      </c>
    </row>
    <row r="18" spans="1:10" x14ac:dyDescent="0.25">
      <c r="A18" s="5" t="s">
        <v>27</v>
      </c>
      <c r="B18" s="2" t="s">
        <v>23</v>
      </c>
      <c r="C18" s="11">
        <f>'Income Statement'!B20</f>
        <v>64062</v>
      </c>
      <c r="D18" s="11">
        <f>'Income Statement'!C20</f>
        <v>68144.3</v>
      </c>
      <c r="E18" s="11">
        <f>'Income Statement'!D20</f>
        <v>76026</v>
      </c>
      <c r="F18" s="12" t="s">
        <v>24</v>
      </c>
      <c r="G18" s="12" t="s">
        <v>24</v>
      </c>
      <c r="H18" s="12" t="s">
        <v>24</v>
      </c>
      <c r="I18" s="12" t="s">
        <v>24</v>
      </c>
      <c r="J18" s="12" t="s">
        <v>24</v>
      </c>
    </row>
    <row r="19" spans="1:10" x14ac:dyDescent="0.25">
      <c r="A19" t="s">
        <v>28</v>
      </c>
      <c r="B19" s="2" t="s">
        <v>23</v>
      </c>
      <c r="C19" s="14">
        <f>'Income Statement'!B25</f>
        <v>41.54</v>
      </c>
      <c r="D19" s="14">
        <f>'Income Statement'!C25</f>
        <v>44.19</v>
      </c>
      <c r="E19" s="14">
        <f>'Income Statement'!D25</f>
        <v>49.3</v>
      </c>
      <c r="F19" s="13" t="s">
        <v>24</v>
      </c>
      <c r="G19" s="13" t="s">
        <v>24</v>
      </c>
      <c r="H19" s="13" t="s">
        <v>24</v>
      </c>
      <c r="I19" s="13" t="s">
        <v>24</v>
      </c>
      <c r="J19" s="13" t="s">
        <v>24</v>
      </c>
    </row>
    <row r="20" spans="1:10" x14ac:dyDescent="0.25">
      <c r="A20" s="5" t="s">
        <v>29</v>
      </c>
      <c r="B20" s="2" t="s">
        <v>30</v>
      </c>
      <c r="C20" s="5" t="s">
        <v>24</v>
      </c>
      <c r="D20" s="5" t="s">
        <v>24</v>
      </c>
      <c r="E20" s="5" t="s">
        <v>24</v>
      </c>
      <c r="F20" s="12" t="s">
        <v>24</v>
      </c>
      <c r="G20" s="12" t="s">
        <v>24</v>
      </c>
      <c r="H20" s="12" t="s">
        <v>24</v>
      </c>
      <c r="I20" s="12" t="s">
        <v>24</v>
      </c>
      <c r="J20" s="12" t="s">
        <v>24</v>
      </c>
    </row>
    <row r="21" spans="1:10" x14ac:dyDescent="0.25">
      <c r="A21" t="s">
        <v>31</v>
      </c>
      <c r="B21" s="2" t="s">
        <v>32</v>
      </c>
      <c r="C21" t="s">
        <v>24</v>
      </c>
      <c r="D21" t="s">
        <v>24</v>
      </c>
      <c r="E21" t="s">
        <v>24</v>
      </c>
      <c r="F21" s="13" t="s">
        <v>24</v>
      </c>
      <c r="G21" s="13" t="s">
        <v>24</v>
      </c>
      <c r="H21" s="13" t="s">
        <v>24</v>
      </c>
      <c r="I21" s="13" t="s">
        <v>24</v>
      </c>
      <c r="J21" s="13" t="s">
        <v>24</v>
      </c>
    </row>
    <row r="23" spans="1:8" x14ac:dyDescent="0.25">
      <c r="A23" s="3" t="s">
        <v>33</v>
      </c>
      <c r="B23" s="4"/>
      <c r="C23" s="4"/>
      <c r="D23" s="4"/>
      <c r="E23" s="4"/>
      <c r="F23" s="4"/>
      <c r="G23" s="4"/>
      <c r="H23" s="4"/>
    </row>
    <row r="24" spans="1:4" x14ac:dyDescent="0.25">
      <c r="A24" s="9" t="s">
        <v>34</v>
      </c>
      <c r="B24" s="10" t="s">
        <v>35</v>
      </c>
      <c r="C24" s="10" t="s">
        <v>36</v>
      </c>
      <c r="D24" s="10" t="s">
        <v>37</v>
      </c>
    </row>
    <row r="25" spans="1:4" x14ac:dyDescent="0.25">
      <c r="A25" t="s">
        <v>38</v>
      </c>
      <c r="B25" s="15">
        <v>13.492142036632625</v>
      </c>
      <c r="C25" s="16">
        <f>'Peers'!C12</f>
        <v>17.32775821596244</v>
      </c>
      <c r="D25" s="17">
        <v>3</v>
      </c>
    </row>
    <row r="26" spans="1:4" x14ac:dyDescent="0.25">
      <c r="A26" t="s">
        <v>39</v>
      </c>
      <c r="B26" s="15">
        <v>1.7711498022267922</v>
      </c>
      <c r="C26" s="16">
        <f>'Peers'!D12</f>
        <v>2.3583967622980286</v>
      </c>
      <c r="D26" s="17">
        <v>3</v>
      </c>
    </row>
    <row r="27" spans="1:4" x14ac:dyDescent="0.25">
      <c r="A27" t="s">
        <v>40</v>
      </c>
      <c r="B27" s="18">
        <v>13.127269172070147</v>
      </c>
      <c r="C27" s="19">
        <f>'Peers'!F12</f>
        <v>11.559445278993316</v>
      </c>
      <c r="D27" s="17">
        <v>3</v>
      </c>
    </row>
    <row r="29" spans="1:8" x14ac:dyDescent="0.25">
      <c r="A29" s="3" t="s">
        <v>41</v>
      </c>
      <c r="B29" s="4"/>
      <c r="C29" s="4"/>
      <c r="D29" s="4"/>
      <c r="E29" s="4"/>
      <c r="F29" s="4"/>
      <c r="G29" s="4"/>
      <c r="H29" s="4"/>
    </row>
    <row r="30" spans="1:1" x14ac:dyDescent="0.25">
      <c r="A30" t="s">
        <v>42</v>
      </c>
    </row>
    <row r="31" spans="1:1" x14ac:dyDescent="0.25">
      <c r="A31" t="s">
        <v>43</v>
      </c>
    </row>
    <row r="32" spans="1:1" x14ac:dyDescent="0.25">
      <c r="A32" t="s">
        <v>44</v>
      </c>
    </row>
    <row r="34" spans="1:1" x14ac:dyDescent="0.25">
      <c r="A34" s="2" t="s">
        <v>45</v>
      </c>
    </row>
    <row r="35" spans="1:1" x14ac:dyDescent="0.25">
      <c r="A35" s="2" t="s">
        <v>46</v>
      </c>
    </row>
    <row r="37" spans="1:4" x14ac:dyDescent="0.25">
      <c r="A37" s="3" t="s">
        <v>47</v>
      </c>
      <c r="B37" s="4"/>
      <c r="C37" s="4"/>
      <c r="D37" s="4"/>
    </row>
    <row r="38" spans="1:2" x14ac:dyDescent="0.25">
      <c r="A38" s="5" t="s">
        <v>48</v>
      </c>
      <c r="B38" t="s">
        <v>49</v>
      </c>
    </row>
    <row r="39" spans="1:2" x14ac:dyDescent="0.25">
      <c r="A39" s="5" t="s">
        <v>50</v>
      </c>
      <c r="B39" t="s">
        <v>51</v>
      </c>
    </row>
    <row r="40" spans="1:2" x14ac:dyDescent="0.25">
      <c r="A40" s="5" t="s">
        <v>52</v>
      </c>
      <c r="B40" t="s">
        <v>53</v>
      </c>
    </row>
    <row r="41" spans="1:2" x14ac:dyDescent="0.25">
      <c r="A41" s="5" t="s">
        <v>54</v>
      </c>
      <c r="B41" t="s">
        <v>55</v>
      </c>
    </row>
    <row r="42" spans="1:2" x14ac:dyDescent="0.25">
      <c r="A42" s="5" t="s">
        <v>56</v>
      </c>
      <c r="B42" t="s">
        <v>57</v>
      </c>
    </row>
    <row r="43" spans="1:2" x14ac:dyDescent="0.25">
      <c r="A43" s="5" t="s">
        <v>58</v>
      </c>
      <c r="B43" t="s">
        <v>59</v>
      </c>
    </row>
    <row r="44" spans="1:2" x14ac:dyDescent="0.25">
      <c r="A44" s="5" t="s">
        <v>60</v>
      </c>
      <c r="B44" t="s">
        <v>61</v>
      </c>
    </row>
    <row r="45" spans="1:2" x14ac:dyDescent="0.25">
      <c r="A45" s="5" t="s">
        <v>62</v>
      </c>
      <c r="B45" t="s">
        <v>63</v>
      </c>
    </row>
    <row r="46" spans="1:2" x14ac:dyDescent="0.25">
      <c r="A46" s="5" t="s">
        <v>64</v>
      </c>
      <c r="B46" t="s">
        <v>65</v>
      </c>
    </row>
    <row r="47" spans="1:2" x14ac:dyDescent="0.25">
      <c r="A47" s="5" t="s">
        <v>66</v>
      </c>
      <c r="B47" t="s">
        <v>67</v>
      </c>
    </row>
    <row r="48" spans="1:2" x14ac:dyDescent="0.25">
      <c r="A48" s="5" t="s">
        <v>68</v>
      </c>
      <c r="B48" t="s">
        <v>69</v>
      </c>
    </row>
    <row r="49" spans="1:2" x14ac:dyDescent="0.25">
      <c r="A49" s="5" t="s">
        <v>70</v>
      </c>
      <c r="B49" t="s">
        <v>71</v>
      </c>
    </row>
    <row r="50" spans="1:2" x14ac:dyDescent="0.25">
      <c r="A50" s="5" t="s">
        <v>6</v>
      </c>
      <c r="B50" t="s">
        <v>72</v>
      </c>
    </row>
    <row r="51" spans="1:2" x14ac:dyDescent="0.25">
      <c r="A51" s="5" t="s">
        <v>73</v>
      </c>
      <c r="B51" t="s">
        <v>74</v>
      </c>
    </row>
    <row r="52" spans="1:2" x14ac:dyDescent="0.25">
      <c r="A52" s="5" t="s">
        <v>75</v>
      </c>
      <c r="B52" t="s">
        <v>76</v>
      </c>
    </row>
    <row r="53" spans="1:2" x14ac:dyDescent="0.25">
      <c r="A53" s="5" t="s">
        <v>77</v>
      </c>
      <c r="B53" t="s">
        <v>78</v>
      </c>
    </row>
    <row r="54" spans="1:2" x14ac:dyDescent="0.25">
      <c r="A54" s="5" t="s">
        <v>79</v>
      </c>
      <c r="B54" t="s">
        <v>80</v>
      </c>
    </row>
    <row r="55" spans="1:2" x14ac:dyDescent="0.25">
      <c r="A55" s="5" t="s">
        <v>81</v>
      </c>
      <c r="B55" t="s">
        <v>82</v>
      </c>
    </row>
    <row r="56" spans="1:2" x14ac:dyDescent="0.25">
      <c r="A56" s="5" t="s">
        <v>83</v>
      </c>
      <c r="B56" t="s">
        <v>84</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85</v>
      </c>
    </row>
    <row r="2" spans="1:1" x14ac:dyDescent="0.25">
      <c r="A2" s="2" t="s">
        <v>86</v>
      </c>
    </row>
    <row r="3" spans="1:1" x14ac:dyDescent="0.25">
      <c r="A3" s="2" t="s">
        <v>87</v>
      </c>
    </row>
    <row r="4" spans="1:9" x14ac:dyDescent="0.25">
      <c r="A4" s="9"/>
      <c r="B4" s="10" t="s">
        <v>14</v>
      </c>
      <c r="C4" s="10" t="s">
        <v>15</v>
      </c>
      <c r="D4" s="10" t="s">
        <v>16</v>
      </c>
      <c r="E4" s="10" t="s">
        <v>17</v>
      </c>
      <c r="F4" s="10" t="s">
        <v>18</v>
      </c>
      <c r="G4" s="10" t="s">
        <v>19</v>
      </c>
      <c r="H4" s="10" t="s">
        <v>20</v>
      </c>
      <c r="I4" s="10" t="s">
        <v>21</v>
      </c>
    </row>
    <row r="5" spans="1:9" x14ac:dyDescent="0.25">
      <c r="A5" s="5" t="s">
        <v>22</v>
      </c>
      <c r="B5" s="20">
        <v>407994.8</v>
      </c>
      <c r="C5" s="20">
        <v>470915.9</v>
      </c>
      <c r="D5" s="20">
        <v>495462.9</v>
      </c>
      <c r="E5" s="21" t="s">
        <v>24</v>
      </c>
      <c r="F5" s="21" t="s">
        <v>24</v>
      </c>
      <c r="G5" s="21" t="s">
        <v>24</v>
      </c>
      <c r="H5" s="21" t="s">
        <v>24</v>
      </c>
      <c r="I5" s="21" t="s">
        <v>24</v>
      </c>
    </row>
    <row r="6" spans="1:9" x14ac:dyDescent="0.25">
      <c r="A6" t="s">
        <v>88</v>
      </c>
      <c r="B6" s="22" t="s">
        <v>24</v>
      </c>
      <c r="C6" s="23">
        <f>C5/B5-1</f>
        <v>0.15422034790639505</v>
      </c>
      <c r="D6" s="23">
        <f>D5/C5-1</f>
        <v>0.052126080261889696</v>
      </c>
      <c r="E6" s="24" t="s">
        <v>24</v>
      </c>
      <c r="F6" s="24" t="s">
        <v>24</v>
      </c>
      <c r="G6" s="24" t="s">
        <v>24</v>
      </c>
      <c r="H6" s="24" t="s">
        <v>24</v>
      </c>
      <c r="I6" s="24" t="s">
        <v>24</v>
      </c>
    </row>
    <row r="7" spans="1:9" x14ac:dyDescent="0.25">
      <c r="A7" t="s">
        <v>89</v>
      </c>
      <c r="B7" s="22" t="s">
        <v>24</v>
      </c>
      <c r="C7" s="22" t="s">
        <v>24</v>
      </c>
      <c r="D7" s="22" t="s">
        <v>24</v>
      </c>
      <c r="E7" s="24" t="s">
        <v>24</v>
      </c>
      <c r="F7" s="24" t="s">
        <v>24</v>
      </c>
      <c r="G7" s="24" t="s">
        <v>24</v>
      </c>
      <c r="H7" s="24" t="s">
        <v>24</v>
      </c>
      <c r="I7" s="24" t="s">
        <v>24</v>
      </c>
    </row>
    <row r="8" spans="1:9" x14ac:dyDescent="0.25">
      <c r="A8" t="s">
        <v>90</v>
      </c>
      <c r="B8" s="22" t="s">
        <v>24</v>
      </c>
      <c r="C8" s="22" t="s">
        <v>24</v>
      </c>
      <c r="D8" s="22" t="s">
        <v>24</v>
      </c>
      <c r="E8" s="24" t="s">
        <v>24</v>
      </c>
      <c r="F8" s="24" t="s">
        <v>24</v>
      </c>
      <c r="G8" s="24" t="s">
        <v>24</v>
      </c>
      <c r="H8" s="24" t="s">
        <v>24</v>
      </c>
      <c r="I8" s="24" t="s">
        <v>24</v>
      </c>
    </row>
    <row r="9" spans="1:9" x14ac:dyDescent="0.25">
      <c r="A9" t="s">
        <v>91</v>
      </c>
      <c r="B9" s="22" t="s">
        <v>24</v>
      </c>
      <c r="C9" s="22" t="s">
        <v>24</v>
      </c>
      <c r="D9" s="22" t="s">
        <v>24</v>
      </c>
      <c r="E9" s="24" t="s">
        <v>24</v>
      </c>
      <c r="F9" s="24" t="s">
        <v>24</v>
      </c>
      <c r="G9" s="24" t="s">
        <v>24</v>
      </c>
      <c r="H9" s="24" t="s">
        <v>24</v>
      </c>
      <c r="I9" s="24" t="s">
        <v>24</v>
      </c>
    </row>
    <row r="10" spans="1:9" x14ac:dyDescent="0.25">
      <c r="A10" s="5" t="s">
        <v>92</v>
      </c>
      <c r="B10" s="25" t="s">
        <v>24</v>
      </c>
      <c r="C10" s="25" t="s">
        <v>24</v>
      </c>
      <c r="D10" s="25" t="s">
        <v>24</v>
      </c>
      <c r="E10" s="21" t="s">
        <v>24</v>
      </c>
      <c r="F10" s="21" t="s">
        <v>24</v>
      </c>
      <c r="G10" s="21" t="s">
        <v>24</v>
      </c>
      <c r="H10" s="21" t="s">
        <v>24</v>
      </c>
      <c r="I10" s="21" t="s">
        <v>24</v>
      </c>
    </row>
    <row r="11" spans="1:9" x14ac:dyDescent="0.25">
      <c r="A11" t="s">
        <v>93</v>
      </c>
      <c r="B11" s="22" t="s">
        <v>24</v>
      </c>
      <c r="C11" s="22" t="s">
        <v>24</v>
      </c>
      <c r="D11" s="22" t="s">
        <v>24</v>
      </c>
      <c r="E11" s="24" t="s">
        <v>24</v>
      </c>
      <c r="F11" s="24" t="s">
        <v>24</v>
      </c>
      <c r="G11" s="24" t="s">
        <v>24</v>
      </c>
      <c r="H11" s="24" t="s">
        <v>24</v>
      </c>
      <c r="I11" s="24" t="s">
        <v>24</v>
      </c>
    </row>
    <row r="12" spans="1:9" x14ac:dyDescent="0.25">
      <c r="A12" t="s">
        <v>94</v>
      </c>
      <c r="B12" s="22" t="s">
        <v>24</v>
      </c>
      <c r="C12" s="22" t="s">
        <v>24</v>
      </c>
      <c r="D12" s="22" t="s">
        <v>24</v>
      </c>
      <c r="E12" s="24" t="s">
        <v>24</v>
      </c>
      <c r="F12" s="24" t="s">
        <v>24</v>
      </c>
      <c r="G12" s="24" t="s">
        <v>24</v>
      </c>
      <c r="H12" s="24" t="s">
        <v>24</v>
      </c>
      <c r="I12" s="24" t="s">
        <v>24</v>
      </c>
    </row>
    <row r="13" spans="1:9" x14ac:dyDescent="0.25">
      <c r="A13" s="5" t="s">
        <v>95</v>
      </c>
      <c r="B13" s="25" t="s">
        <v>24</v>
      </c>
      <c r="C13" s="25" t="s">
        <v>24</v>
      </c>
      <c r="D13" s="25" t="s">
        <v>24</v>
      </c>
      <c r="E13" s="21" t="s">
        <v>24</v>
      </c>
      <c r="F13" s="21" t="s">
        <v>24</v>
      </c>
      <c r="G13" s="21" t="s">
        <v>24</v>
      </c>
      <c r="H13" s="21" t="s">
        <v>24</v>
      </c>
      <c r="I13" s="21" t="s">
        <v>24</v>
      </c>
    </row>
    <row r="14" spans="1:9" x14ac:dyDescent="0.25">
      <c r="A14" t="s">
        <v>96</v>
      </c>
      <c r="B14" s="22" t="s">
        <v>24</v>
      </c>
      <c r="C14" s="22" t="s">
        <v>24</v>
      </c>
      <c r="D14" s="22" t="s">
        <v>24</v>
      </c>
      <c r="E14" s="24" t="s">
        <v>24</v>
      </c>
      <c r="F14" s="24" t="s">
        <v>24</v>
      </c>
      <c r="G14" s="24" t="s">
        <v>24</v>
      </c>
      <c r="H14" s="24" t="s">
        <v>24</v>
      </c>
      <c r="I14" s="24" t="s">
        <v>24</v>
      </c>
    </row>
    <row r="15" spans="1:9" x14ac:dyDescent="0.25">
      <c r="A15" t="s">
        <v>97</v>
      </c>
      <c r="B15" s="26">
        <v>283649</v>
      </c>
      <c r="C15" s="26">
        <v>336367.4</v>
      </c>
      <c r="D15" s="26">
        <v>348615.2</v>
      </c>
      <c r="E15" s="24" t="s">
        <v>24</v>
      </c>
      <c r="F15" s="24" t="s">
        <v>24</v>
      </c>
      <c r="G15" s="24" t="s">
        <v>24</v>
      </c>
      <c r="H15" s="24" t="s">
        <v>24</v>
      </c>
      <c r="I15" s="24" t="s">
        <v>24</v>
      </c>
    </row>
    <row r="16" spans="1:9" x14ac:dyDescent="0.25">
      <c r="A16" t="s">
        <v>98</v>
      </c>
      <c r="B16" s="26">
        <v>154138.6</v>
      </c>
      <c r="C16" s="26">
        <v>183894.2</v>
      </c>
      <c r="D16" s="26">
        <v>185491.2</v>
      </c>
      <c r="E16" s="24" t="s">
        <v>24</v>
      </c>
      <c r="F16" s="24" t="s">
        <v>24</v>
      </c>
      <c r="G16" s="24" t="s">
        <v>24</v>
      </c>
      <c r="H16" s="24" t="s">
        <v>24</v>
      </c>
      <c r="I16" s="24" t="s">
        <v>24</v>
      </c>
    </row>
    <row r="17" spans="1:9" x14ac:dyDescent="0.25">
      <c r="A17" t="s">
        <v>99</v>
      </c>
      <c r="B17" s="22" t="s">
        <v>24</v>
      </c>
      <c r="C17" s="22" t="s">
        <v>24</v>
      </c>
      <c r="D17" s="22" t="s">
        <v>24</v>
      </c>
      <c r="E17" s="24" t="s">
        <v>24</v>
      </c>
      <c r="F17" s="24" t="s">
        <v>24</v>
      </c>
      <c r="G17" s="24" t="s">
        <v>24</v>
      </c>
      <c r="H17" s="24" t="s">
        <v>24</v>
      </c>
      <c r="I17" s="24" t="s">
        <v>24</v>
      </c>
    </row>
    <row r="18" spans="1:9" x14ac:dyDescent="0.25">
      <c r="A18" s="5" t="s">
        <v>100</v>
      </c>
      <c r="B18" s="20">
        <v>75184.1</v>
      </c>
      <c r="C18" s="20">
        <v>93594.1</v>
      </c>
      <c r="D18" s="20">
        <v>98948</v>
      </c>
      <c r="E18" s="21" t="s">
        <v>24</v>
      </c>
      <c r="F18" s="21" t="s">
        <v>24</v>
      </c>
      <c r="G18" s="21" t="s">
        <v>24</v>
      </c>
      <c r="H18" s="21" t="s">
        <v>24</v>
      </c>
      <c r="I18" s="21" t="s">
        <v>24</v>
      </c>
    </row>
    <row r="19" spans="1:9" x14ac:dyDescent="0.25">
      <c r="A19" t="s">
        <v>101</v>
      </c>
      <c r="B19" s="26">
        <v>11122.1</v>
      </c>
      <c r="C19" s="26">
        <v>22801.9</v>
      </c>
      <c r="D19" s="26">
        <v>22922</v>
      </c>
      <c r="E19" s="24" t="s">
        <v>24</v>
      </c>
      <c r="F19" s="24" t="s">
        <v>24</v>
      </c>
      <c r="G19" s="24" t="s">
        <v>24</v>
      </c>
      <c r="H19" s="24" t="s">
        <v>24</v>
      </c>
      <c r="I19" s="24" t="s">
        <v>24</v>
      </c>
    </row>
    <row r="20" spans="1:9" x14ac:dyDescent="0.25">
      <c r="A20" s="5" t="s">
        <v>102</v>
      </c>
      <c r="B20" s="20">
        <f>B18-B19</f>
        <v>64062</v>
      </c>
      <c r="C20" s="20">
        <v>68144.3</v>
      </c>
      <c r="D20" s="20">
        <f>D18-D19</f>
        <v>76026</v>
      </c>
      <c r="E20" s="21" t="s">
        <v>24</v>
      </c>
      <c r="F20" s="21" t="s">
        <v>24</v>
      </c>
      <c r="G20" s="21" t="s">
        <v>24</v>
      </c>
      <c r="H20" s="21" t="s">
        <v>24</v>
      </c>
      <c r="I20" s="21" t="s">
        <v>24</v>
      </c>
    </row>
    <row r="21" spans="1:9" x14ac:dyDescent="0.25">
      <c r="A21" t="s">
        <v>103</v>
      </c>
      <c r="B21" s="23">
        <f>B20/B5</f>
        <v>0.1570167070756784</v>
      </c>
      <c r="C21" s="23">
        <f>C20/C5</f>
        <v>0.14470588060415884</v>
      </c>
      <c r="D21" s="23">
        <f>D20/D5</f>
        <v>0.15344438503871832</v>
      </c>
      <c r="E21" s="24" t="s">
        <v>24</v>
      </c>
      <c r="F21" s="24" t="s">
        <v>24</v>
      </c>
      <c r="G21" s="24" t="s">
        <v>24</v>
      </c>
      <c r="H21" s="24" t="s">
        <v>24</v>
      </c>
      <c r="I21" s="24" t="s">
        <v>24</v>
      </c>
    </row>
    <row r="22" spans="1:9" x14ac:dyDescent="0.25">
      <c r="A22" t="s">
        <v>104</v>
      </c>
      <c r="B22" s="22" t="s">
        <v>24</v>
      </c>
      <c r="C22" s="22" t="s">
        <v>24</v>
      </c>
      <c r="D22" s="22" t="s">
        <v>24</v>
      </c>
      <c r="E22" s="24" t="s">
        <v>24</v>
      </c>
      <c r="F22" s="24" t="s">
        <v>24</v>
      </c>
      <c r="G22" s="24" t="s">
        <v>24</v>
      </c>
      <c r="H22" s="24" t="s">
        <v>24</v>
      </c>
      <c r="I22" s="24" t="s">
        <v>24</v>
      </c>
    </row>
    <row r="23" spans="1:9" x14ac:dyDescent="0.25">
      <c r="A23" s="5" t="s">
        <v>105</v>
      </c>
      <c r="B23" s="25" t="s">
        <v>24</v>
      </c>
      <c r="C23" s="25" t="s">
        <v>24</v>
      </c>
      <c r="D23" s="25" t="s">
        <v>24</v>
      </c>
      <c r="E23" s="21" t="s">
        <v>24</v>
      </c>
      <c r="F23" s="21" t="s">
        <v>24</v>
      </c>
      <c r="G23" s="21" t="s">
        <v>24</v>
      </c>
      <c r="H23" s="21" t="s">
        <v>24</v>
      </c>
      <c r="I23" s="21" t="s">
        <v>24</v>
      </c>
    </row>
    <row r="24" spans="1:9" x14ac:dyDescent="0.25">
      <c r="A24" t="s">
        <v>106</v>
      </c>
      <c r="B24" s="27">
        <v>1542</v>
      </c>
      <c r="C24" s="27">
        <v>1542</v>
      </c>
      <c r="D24" s="27">
        <v>1542</v>
      </c>
      <c r="E24" s="24" t="s">
        <v>24</v>
      </c>
      <c r="F24" s="24" t="s">
        <v>24</v>
      </c>
      <c r="G24" s="24" t="s">
        <v>24</v>
      </c>
      <c r="H24" s="24" t="s">
        <v>24</v>
      </c>
      <c r="I24" s="24" t="s">
        <v>24</v>
      </c>
    </row>
    <row r="25" spans="1:9" x14ac:dyDescent="0.25">
      <c r="A25" s="5" t="s">
        <v>28</v>
      </c>
      <c r="B25" s="28">
        <v>41.54</v>
      </c>
      <c r="C25" s="28">
        <v>44.19</v>
      </c>
      <c r="D25" s="28">
        <v>49.3</v>
      </c>
      <c r="E25" s="21" t="s">
        <v>24</v>
      </c>
      <c r="F25" s="21" t="s">
        <v>24</v>
      </c>
      <c r="G25" s="21" t="s">
        <v>24</v>
      </c>
      <c r="H25" s="21" t="s">
        <v>24</v>
      </c>
      <c r="I25" s="21"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107</v>
      </c>
    </row>
    <row r="2" spans="1:1" x14ac:dyDescent="0.25">
      <c r="A2" s="2" t="s">
        <v>108</v>
      </c>
    </row>
    <row r="3" spans="1:1" x14ac:dyDescent="0.25">
      <c r="A3" s="2" t="s">
        <v>87</v>
      </c>
    </row>
    <row r="4" spans="1:9" x14ac:dyDescent="0.25">
      <c r="A4" s="9"/>
      <c r="B4" s="10" t="s">
        <v>14</v>
      </c>
      <c r="C4" s="10" t="s">
        <v>15</v>
      </c>
      <c r="D4" s="10" t="s">
        <v>16</v>
      </c>
      <c r="E4" s="10" t="s">
        <v>17</v>
      </c>
      <c r="F4" s="10" t="s">
        <v>18</v>
      </c>
      <c r="G4" s="10" t="s">
        <v>19</v>
      </c>
      <c r="H4" s="10" t="s">
        <v>20</v>
      </c>
      <c r="I4" s="10" t="s">
        <v>21</v>
      </c>
    </row>
    <row r="5" spans="1:9" x14ac:dyDescent="0.25">
      <c r="A5" s="3" t="s">
        <v>109</v>
      </c>
      <c r="B5" s="4"/>
      <c r="C5" s="4"/>
      <c r="D5" s="4"/>
      <c r="E5" s="4"/>
      <c r="F5" s="4"/>
      <c r="G5" s="4"/>
      <c r="H5" s="4"/>
      <c r="I5" s="4"/>
    </row>
    <row r="6" spans="1:9" x14ac:dyDescent="0.25">
      <c r="A6" t="s">
        <v>110</v>
      </c>
      <c r="B6" s="22" t="s">
        <v>24</v>
      </c>
      <c r="C6" s="22" t="s">
        <v>24</v>
      </c>
      <c r="D6" s="22" t="s">
        <v>24</v>
      </c>
      <c r="E6" s="24" t="s">
        <v>24</v>
      </c>
      <c r="F6" s="24" t="s">
        <v>24</v>
      </c>
      <c r="G6" s="24" t="s">
        <v>24</v>
      </c>
      <c r="H6" s="24" t="s">
        <v>24</v>
      </c>
      <c r="I6" s="24" t="s">
        <v>24</v>
      </c>
    </row>
    <row r="7" spans="1:9" x14ac:dyDescent="0.25">
      <c r="A7" t="s">
        <v>111</v>
      </c>
      <c r="B7" s="22" t="s">
        <v>24</v>
      </c>
      <c r="C7" s="22" t="s">
        <v>24</v>
      </c>
      <c r="D7" s="22" t="s">
        <v>24</v>
      </c>
      <c r="E7" s="24" t="s">
        <v>24</v>
      </c>
      <c r="F7" s="24" t="s">
        <v>24</v>
      </c>
      <c r="G7" s="24" t="s">
        <v>24</v>
      </c>
      <c r="H7" s="24" t="s">
        <v>24</v>
      </c>
      <c r="I7" s="24" t="s">
        <v>24</v>
      </c>
    </row>
    <row r="8" spans="1:9" x14ac:dyDescent="0.25">
      <c r="A8" t="s">
        <v>112</v>
      </c>
      <c r="B8" s="22" t="s">
        <v>24</v>
      </c>
      <c r="C8" s="22" t="s">
        <v>24</v>
      </c>
      <c r="D8" s="22" t="s">
        <v>24</v>
      </c>
      <c r="E8" s="24" t="s">
        <v>24</v>
      </c>
      <c r="F8" s="24" t="s">
        <v>24</v>
      </c>
      <c r="G8" s="24" t="s">
        <v>24</v>
      </c>
      <c r="H8" s="24" t="s">
        <v>24</v>
      </c>
      <c r="I8" s="24" t="s">
        <v>24</v>
      </c>
    </row>
    <row r="9" spans="1:9" x14ac:dyDescent="0.25">
      <c r="A9" t="s">
        <v>113</v>
      </c>
      <c r="B9" s="22" t="s">
        <v>24</v>
      </c>
      <c r="C9" s="22" t="s">
        <v>24</v>
      </c>
      <c r="D9" s="22" t="s">
        <v>24</v>
      </c>
      <c r="E9" s="24" t="s">
        <v>24</v>
      </c>
      <c r="F9" s="24" t="s">
        <v>24</v>
      </c>
      <c r="G9" s="24" t="s">
        <v>24</v>
      </c>
      <c r="H9" s="24" t="s">
        <v>24</v>
      </c>
      <c r="I9" s="24" t="s">
        <v>24</v>
      </c>
    </row>
    <row r="10" spans="1:9" x14ac:dyDescent="0.25">
      <c r="A10" t="s">
        <v>114</v>
      </c>
      <c r="B10" s="22" t="s">
        <v>24</v>
      </c>
      <c r="C10" s="22" t="s">
        <v>24</v>
      </c>
      <c r="D10" s="22" t="s">
        <v>24</v>
      </c>
      <c r="E10" s="24" t="s">
        <v>24</v>
      </c>
      <c r="F10" s="24" t="s">
        <v>24</v>
      </c>
      <c r="G10" s="24" t="s">
        <v>24</v>
      </c>
      <c r="H10" s="24" t="s">
        <v>24</v>
      </c>
      <c r="I10" s="24" t="s">
        <v>24</v>
      </c>
    </row>
    <row r="11" spans="1:9" x14ac:dyDescent="0.25">
      <c r="A11" s="5" t="s">
        <v>115</v>
      </c>
      <c r="B11" s="25" t="s">
        <v>24</v>
      </c>
      <c r="C11" s="25" t="s">
        <v>24</v>
      </c>
      <c r="D11" s="25" t="s">
        <v>24</v>
      </c>
      <c r="E11" s="21" t="s">
        <v>24</v>
      </c>
      <c r="F11" s="21" t="s">
        <v>24</v>
      </c>
      <c r="G11" s="21" t="s">
        <v>24</v>
      </c>
      <c r="H11" s="21" t="s">
        <v>24</v>
      </c>
      <c r="I11" s="21" t="s">
        <v>24</v>
      </c>
    </row>
    <row r="12" spans="1:9" x14ac:dyDescent="0.25">
      <c r="A12" s="3" t="s">
        <v>116</v>
      </c>
      <c r="B12" s="4"/>
      <c r="C12" s="4"/>
      <c r="D12" s="4"/>
      <c r="E12" s="4"/>
      <c r="F12" s="4"/>
      <c r="G12" s="4"/>
      <c r="H12" s="4"/>
      <c r="I12" s="4"/>
    </row>
    <row r="13" spans="1:9" x14ac:dyDescent="0.25">
      <c r="A13" t="s">
        <v>117</v>
      </c>
      <c r="B13" s="22" t="s">
        <v>24</v>
      </c>
      <c r="C13" s="22" t="s">
        <v>24</v>
      </c>
      <c r="D13" s="22" t="s">
        <v>24</v>
      </c>
      <c r="E13" s="24" t="s">
        <v>24</v>
      </c>
      <c r="F13" s="24" t="s">
        <v>24</v>
      </c>
      <c r="G13" s="24" t="s">
        <v>24</v>
      </c>
      <c r="H13" s="24" t="s">
        <v>24</v>
      </c>
      <c r="I13" s="24" t="s">
        <v>24</v>
      </c>
    </row>
    <row r="14" spans="1:9" x14ac:dyDescent="0.25">
      <c r="A14" t="s">
        <v>118</v>
      </c>
      <c r="B14" s="22" t="s">
        <v>24</v>
      </c>
      <c r="C14" s="22" t="s">
        <v>24</v>
      </c>
      <c r="D14" s="22" t="s">
        <v>24</v>
      </c>
      <c r="E14" s="24" t="s">
        <v>24</v>
      </c>
      <c r="F14" s="24" t="s">
        <v>24</v>
      </c>
      <c r="G14" s="24" t="s">
        <v>24</v>
      </c>
      <c r="H14" s="24" t="s">
        <v>24</v>
      </c>
      <c r="I14" s="24" t="s">
        <v>24</v>
      </c>
    </row>
    <row r="15" spans="1:9" x14ac:dyDescent="0.25">
      <c r="A15" t="s">
        <v>119</v>
      </c>
      <c r="B15" s="22" t="s">
        <v>24</v>
      </c>
      <c r="C15" s="22" t="s">
        <v>24</v>
      </c>
      <c r="D15" s="22" t="s">
        <v>24</v>
      </c>
      <c r="E15" s="24" t="s">
        <v>24</v>
      </c>
      <c r="F15" s="24" t="s">
        <v>24</v>
      </c>
      <c r="G15" s="24" t="s">
        <v>24</v>
      </c>
      <c r="H15" s="24" t="s">
        <v>24</v>
      </c>
      <c r="I15" s="24" t="s">
        <v>24</v>
      </c>
    </row>
    <row r="16" spans="1:9" x14ac:dyDescent="0.25">
      <c r="A16" t="s">
        <v>120</v>
      </c>
      <c r="B16" s="22" t="s">
        <v>24</v>
      </c>
      <c r="C16" s="22" t="s">
        <v>24</v>
      </c>
      <c r="D16" s="22" t="s">
        <v>24</v>
      </c>
      <c r="E16" s="24" t="s">
        <v>24</v>
      </c>
      <c r="F16" s="24" t="s">
        <v>24</v>
      </c>
      <c r="G16" s="24" t="s">
        <v>24</v>
      </c>
      <c r="H16" s="24" t="s">
        <v>24</v>
      </c>
      <c r="I16" s="24" t="s">
        <v>24</v>
      </c>
    </row>
    <row r="17" spans="1:9" x14ac:dyDescent="0.25">
      <c r="A17" s="5" t="s">
        <v>121</v>
      </c>
      <c r="B17" s="25" t="s">
        <v>24</v>
      </c>
      <c r="C17" s="25" t="s">
        <v>24</v>
      </c>
      <c r="D17" s="25" t="s">
        <v>24</v>
      </c>
      <c r="E17" s="21" t="s">
        <v>24</v>
      </c>
      <c r="F17" s="21" t="s">
        <v>24</v>
      </c>
      <c r="G17" s="21" t="s">
        <v>24</v>
      </c>
      <c r="H17" s="21" t="s">
        <v>24</v>
      </c>
      <c r="I17" s="21" t="s">
        <v>24</v>
      </c>
    </row>
    <row r="18" spans="1:9" x14ac:dyDescent="0.25">
      <c r="A18" s="5" t="s">
        <v>122</v>
      </c>
      <c r="B18" s="20">
        <v>4030194.3</v>
      </c>
      <c r="C18" s="20">
        <v>4392417.4</v>
      </c>
      <c r="D18" s="20">
        <v>4908040.8</v>
      </c>
      <c r="E18" s="21" t="s">
        <v>24</v>
      </c>
      <c r="F18" s="21" t="s">
        <v>24</v>
      </c>
      <c r="G18" s="21" t="s">
        <v>24</v>
      </c>
      <c r="H18" s="21" t="s">
        <v>24</v>
      </c>
      <c r="I18" s="21" t="s">
        <v>24</v>
      </c>
    </row>
    <row r="19" spans="1:9" x14ac:dyDescent="0.25">
      <c r="A19" s="3" t="s">
        <v>123</v>
      </c>
      <c r="B19" s="4"/>
      <c r="C19" s="4"/>
      <c r="D19" s="4"/>
      <c r="E19" s="4"/>
      <c r="F19" s="4"/>
      <c r="G19" s="4"/>
      <c r="H19" s="4"/>
      <c r="I19" s="4"/>
    </row>
    <row r="20" spans="1:9" x14ac:dyDescent="0.25">
      <c r="A20" t="s">
        <v>124</v>
      </c>
      <c r="B20" s="22" t="s">
        <v>24</v>
      </c>
      <c r="C20" s="22" t="s">
        <v>24</v>
      </c>
      <c r="D20" s="22" t="s">
        <v>24</v>
      </c>
      <c r="E20" s="24" t="s">
        <v>24</v>
      </c>
      <c r="F20" s="24" t="s">
        <v>24</v>
      </c>
      <c r="G20" s="24" t="s">
        <v>24</v>
      </c>
      <c r="H20" s="24" t="s">
        <v>24</v>
      </c>
      <c r="I20" s="24" t="s">
        <v>24</v>
      </c>
    </row>
    <row r="21" spans="1:9" x14ac:dyDescent="0.25">
      <c r="A21" t="s">
        <v>125</v>
      </c>
      <c r="B21" s="22" t="s">
        <v>24</v>
      </c>
      <c r="C21" s="22" t="s">
        <v>24</v>
      </c>
      <c r="D21" s="22" t="s">
        <v>24</v>
      </c>
      <c r="E21" s="24" t="s">
        <v>24</v>
      </c>
      <c r="F21" s="24" t="s">
        <v>24</v>
      </c>
      <c r="G21" s="24" t="s">
        <v>24</v>
      </c>
      <c r="H21" s="24" t="s">
        <v>24</v>
      </c>
      <c r="I21" s="24" t="s">
        <v>24</v>
      </c>
    </row>
    <row r="22" spans="1:9" x14ac:dyDescent="0.25">
      <c r="A22" t="s">
        <v>126</v>
      </c>
      <c r="B22" s="22" t="s">
        <v>24</v>
      </c>
      <c r="C22" s="22" t="s">
        <v>24</v>
      </c>
      <c r="D22" s="22" t="s">
        <v>24</v>
      </c>
      <c r="E22" s="24" t="s">
        <v>24</v>
      </c>
      <c r="F22" s="24" t="s">
        <v>24</v>
      </c>
      <c r="G22" s="24" t="s">
        <v>24</v>
      </c>
      <c r="H22" s="24" t="s">
        <v>24</v>
      </c>
      <c r="I22" s="24" t="s">
        <v>24</v>
      </c>
    </row>
    <row r="23" spans="1:9" x14ac:dyDescent="0.25">
      <c r="A23" s="5" t="s">
        <v>127</v>
      </c>
      <c r="B23" s="25" t="s">
        <v>24</v>
      </c>
      <c r="C23" s="25" t="s">
        <v>24</v>
      </c>
      <c r="D23" s="25" t="s">
        <v>24</v>
      </c>
      <c r="E23" s="21" t="s">
        <v>24</v>
      </c>
      <c r="F23" s="21" t="s">
        <v>24</v>
      </c>
      <c r="G23" s="21" t="s">
        <v>24</v>
      </c>
      <c r="H23" s="21" t="s">
        <v>24</v>
      </c>
      <c r="I23" s="21" t="s">
        <v>24</v>
      </c>
    </row>
    <row r="24" spans="1:9" x14ac:dyDescent="0.25">
      <c r="A24" s="3" t="s">
        <v>128</v>
      </c>
      <c r="B24" s="4"/>
      <c r="C24" s="4"/>
      <c r="D24" s="4"/>
      <c r="E24" s="4"/>
      <c r="F24" s="4"/>
      <c r="G24" s="4"/>
      <c r="H24" s="4"/>
      <c r="I24" s="4"/>
    </row>
    <row r="25" spans="1:9" x14ac:dyDescent="0.25">
      <c r="A25" t="s">
        <v>129</v>
      </c>
      <c r="B25" s="22" t="s">
        <v>24</v>
      </c>
      <c r="C25" s="22" t="s">
        <v>24</v>
      </c>
      <c r="D25" s="22" t="s">
        <v>24</v>
      </c>
      <c r="E25" s="24" t="s">
        <v>24</v>
      </c>
      <c r="F25" s="24" t="s">
        <v>24</v>
      </c>
      <c r="G25" s="24" t="s">
        <v>24</v>
      </c>
      <c r="H25" s="24" t="s">
        <v>24</v>
      </c>
      <c r="I25" s="24" t="s">
        <v>24</v>
      </c>
    </row>
    <row r="26" spans="1:9" x14ac:dyDescent="0.25">
      <c r="A26" t="s">
        <v>130</v>
      </c>
      <c r="B26" s="22" t="s">
        <v>24</v>
      </c>
      <c r="C26" s="22" t="s">
        <v>24</v>
      </c>
      <c r="D26" s="22" t="s">
        <v>24</v>
      </c>
      <c r="E26" s="24" t="s">
        <v>24</v>
      </c>
      <c r="F26" s="24" t="s">
        <v>24</v>
      </c>
      <c r="G26" s="24" t="s">
        <v>24</v>
      </c>
      <c r="H26" s="24" t="s">
        <v>24</v>
      </c>
      <c r="I26" s="24" t="s">
        <v>24</v>
      </c>
    </row>
    <row r="27" spans="1:9" x14ac:dyDescent="0.25">
      <c r="A27" t="s">
        <v>131</v>
      </c>
      <c r="B27" s="22" t="s">
        <v>24</v>
      </c>
      <c r="C27" s="22" t="s">
        <v>24</v>
      </c>
      <c r="D27" s="22" t="s">
        <v>24</v>
      </c>
      <c r="E27" s="24" t="s">
        <v>24</v>
      </c>
      <c r="F27" s="24" t="s">
        <v>24</v>
      </c>
      <c r="G27" s="24" t="s">
        <v>24</v>
      </c>
      <c r="H27" s="24" t="s">
        <v>24</v>
      </c>
      <c r="I27" s="24" t="s">
        <v>24</v>
      </c>
    </row>
    <row r="28" spans="1:9" x14ac:dyDescent="0.25">
      <c r="A28" t="s">
        <v>132</v>
      </c>
      <c r="B28" s="22" t="s">
        <v>24</v>
      </c>
      <c r="C28" s="22" t="s">
        <v>24</v>
      </c>
      <c r="D28" s="22" t="s">
        <v>24</v>
      </c>
      <c r="E28" s="24" t="s">
        <v>24</v>
      </c>
      <c r="F28" s="24" t="s">
        <v>24</v>
      </c>
      <c r="G28" s="24" t="s">
        <v>24</v>
      </c>
      <c r="H28" s="24" t="s">
        <v>24</v>
      </c>
      <c r="I28" s="24" t="s">
        <v>24</v>
      </c>
    </row>
    <row r="29" spans="1:9" x14ac:dyDescent="0.25">
      <c r="A29" s="5" t="s">
        <v>133</v>
      </c>
      <c r="B29" s="25" t="s">
        <v>24</v>
      </c>
      <c r="C29" s="25" t="s">
        <v>24</v>
      </c>
      <c r="D29" s="25" t="s">
        <v>24</v>
      </c>
      <c r="E29" s="21" t="s">
        <v>24</v>
      </c>
      <c r="F29" s="21" t="s">
        <v>24</v>
      </c>
      <c r="G29" s="21" t="s">
        <v>24</v>
      </c>
      <c r="H29" s="21" t="s">
        <v>24</v>
      </c>
      <c r="I29" s="21" t="s">
        <v>24</v>
      </c>
    </row>
    <row r="30" spans="1:9" x14ac:dyDescent="0.25">
      <c r="A30" s="5" t="s">
        <v>134</v>
      </c>
      <c r="B30" s="25" t="s">
        <v>24</v>
      </c>
      <c r="C30" s="25" t="s">
        <v>24</v>
      </c>
      <c r="D30" s="25" t="s">
        <v>24</v>
      </c>
      <c r="E30" s="21" t="s">
        <v>24</v>
      </c>
      <c r="F30" s="21" t="s">
        <v>24</v>
      </c>
      <c r="G30" s="21" t="s">
        <v>24</v>
      </c>
      <c r="H30" s="21" t="s">
        <v>24</v>
      </c>
      <c r="I30" s="21" t="s">
        <v>24</v>
      </c>
    </row>
    <row r="31" spans="1:9" x14ac:dyDescent="0.25">
      <c r="A31" s="3" t="s">
        <v>135</v>
      </c>
      <c r="B31" s="4"/>
      <c r="C31" s="4"/>
      <c r="D31" s="4"/>
      <c r="E31" s="4"/>
      <c r="F31" s="4"/>
      <c r="G31" s="4"/>
      <c r="H31" s="4"/>
      <c r="I31" s="4"/>
    </row>
    <row r="32" spans="1:9" x14ac:dyDescent="0.25">
      <c r="A32" t="s">
        <v>136</v>
      </c>
      <c r="B32" s="22" t="s">
        <v>24</v>
      </c>
      <c r="C32" s="22" t="s">
        <v>24</v>
      </c>
      <c r="D32" s="22" t="s">
        <v>24</v>
      </c>
      <c r="E32" s="24" t="s">
        <v>24</v>
      </c>
      <c r="F32" s="24" t="s">
        <v>24</v>
      </c>
      <c r="G32" s="24" t="s">
        <v>24</v>
      </c>
      <c r="H32" s="24" t="s">
        <v>24</v>
      </c>
      <c r="I32" s="24" t="s">
        <v>24</v>
      </c>
    </row>
    <row r="33" spans="1:9" x14ac:dyDescent="0.25">
      <c r="A33" t="s">
        <v>137</v>
      </c>
      <c r="B33" s="22" t="s">
        <v>24</v>
      </c>
      <c r="C33" s="22" t="s">
        <v>24</v>
      </c>
      <c r="D33" s="22" t="s">
        <v>24</v>
      </c>
      <c r="E33" s="24" t="s">
        <v>24</v>
      </c>
      <c r="F33" s="24" t="s">
        <v>24</v>
      </c>
      <c r="G33" s="24" t="s">
        <v>24</v>
      </c>
      <c r="H33" s="24" t="s">
        <v>24</v>
      </c>
      <c r="I33" s="24" t="s">
        <v>24</v>
      </c>
    </row>
    <row r="34" spans="1:9" x14ac:dyDescent="0.25">
      <c r="A34" t="s">
        <v>138</v>
      </c>
      <c r="B34" s="22" t="s">
        <v>24</v>
      </c>
      <c r="C34" s="22" t="s">
        <v>24</v>
      </c>
      <c r="D34" s="22" t="s">
        <v>24</v>
      </c>
      <c r="E34" s="24" t="s">
        <v>24</v>
      </c>
      <c r="F34" s="24" t="s">
        <v>24</v>
      </c>
      <c r="G34" s="24" t="s">
        <v>24</v>
      </c>
      <c r="H34" s="24" t="s">
        <v>24</v>
      </c>
      <c r="I34" s="24" t="s">
        <v>24</v>
      </c>
    </row>
    <row r="35" spans="1:9" x14ac:dyDescent="0.25">
      <c r="A35" t="s">
        <v>139</v>
      </c>
      <c r="B35" s="22" t="s">
        <v>24</v>
      </c>
      <c r="C35" s="22" t="s">
        <v>24</v>
      </c>
      <c r="D35" s="22" t="s">
        <v>24</v>
      </c>
      <c r="E35" s="24" t="s">
        <v>24</v>
      </c>
      <c r="F35" s="24" t="s">
        <v>24</v>
      </c>
      <c r="G35" s="24" t="s">
        <v>24</v>
      </c>
      <c r="H35" s="24" t="s">
        <v>24</v>
      </c>
      <c r="I35" s="24" t="s">
        <v>24</v>
      </c>
    </row>
    <row r="36" spans="1:9" x14ac:dyDescent="0.25">
      <c r="A36" s="5" t="s">
        <v>140</v>
      </c>
      <c r="B36" s="20">
        <v>453742.5</v>
      </c>
      <c r="C36" s="20">
        <v>517984.2</v>
      </c>
      <c r="D36" s="20">
        <v>581514.4</v>
      </c>
      <c r="E36" s="21" t="s">
        <v>24</v>
      </c>
      <c r="F36" s="21" t="s">
        <v>24</v>
      </c>
      <c r="G36" s="21" t="s">
        <v>24</v>
      </c>
      <c r="H36" s="21" t="s">
        <v>24</v>
      </c>
      <c r="I36" s="21" t="s">
        <v>24</v>
      </c>
    </row>
    <row r="37" spans="1:9" x14ac:dyDescent="0.25">
      <c r="A37" s="5" t="s">
        <v>141</v>
      </c>
      <c r="B37" s="25" t="s">
        <v>24</v>
      </c>
      <c r="C37" s="25" t="s">
        <v>24</v>
      </c>
      <c r="D37" s="25" t="s">
        <v>24</v>
      </c>
      <c r="E37" s="21" t="s">
        <v>24</v>
      </c>
      <c r="F37" s="21" t="s">
        <v>24</v>
      </c>
      <c r="G37" s="21" t="s">
        <v>24</v>
      </c>
      <c r="H37" s="21" t="s">
        <v>24</v>
      </c>
      <c r="I37" s="21" t="s">
        <v>24</v>
      </c>
    </row>
    <row r="38" spans="1:9" x14ac:dyDescent="0.25">
      <c r="A38" t="s">
        <v>142</v>
      </c>
      <c r="B38" s="22" t="s">
        <v>24</v>
      </c>
      <c r="C38" s="22" t="s">
        <v>24</v>
      </c>
      <c r="D38" s="22" t="s">
        <v>24</v>
      </c>
      <c r="E38" s="24" t="s">
        <v>24</v>
      </c>
      <c r="F38" s="24" t="s">
        <v>24</v>
      </c>
      <c r="G38" s="24" t="s">
        <v>24</v>
      </c>
      <c r="H38" s="24" t="s">
        <v>24</v>
      </c>
      <c r="I38" s="24" t="s">
        <v>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143</v>
      </c>
    </row>
    <row r="2" spans="1:1" x14ac:dyDescent="0.25">
      <c r="A2" s="2" t="s">
        <v>108</v>
      </c>
    </row>
    <row r="3" spans="1:1" x14ac:dyDescent="0.25">
      <c r="A3" s="2" t="s">
        <v>87</v>
      </c>
    </row>
    <row r="4" spans="1:9" x14ac:dyDescent="0.25">
      <c r="A4" s="9"/>
      <c r="B4" s="10" t="s">
        <v>14</v>
      </c>
      <c r="C4" s="10" t="s">
        <v>15</v>
      </c>
      <c r="D4" s="10" t="s">
        <v>16</v>
      </c>
      <c r="E4" s="10" t="s">
        <v>17</v>
      </c>
      <c r="F4" s="10" t="s">
        <v>18</v>
      </c>
      <c r="G4" s="10" t="s">
        <v>19</v>
      </c>
      <c r="H4" s="10" t="s">
        <v>20</v>
      </c>
      <c r="I4" s="10" t="s">
        <v>21</v>
      </c>
    </row>
    <row r="5" spans="1:9" x14ac:dyDescent="0.25">
      <c r="A5" s="3" t="s">
        <v>144</v>
      </c>
      <c r="B5" s="4"/>
      <c r="C5" s="4"/>
      <c r="D5" s="4"/>
      <c r="E5" s="4"/>
      <c r="F5" s="4"/>
      <c r="G5" s="4"/>
      <c r="H5" s="4"/>
      <c r="I5" s="4"/>
    </row>
    <row r="6" spans="1:9" x14ac:dyDescent="0.25">
      <c r="A6" t="s">
        <v>145</v>
      </c>
      <c r="B6" s="26">
        <v>64062</v>
      </c>
      <c r="C6" s="26">
        <v>68144.3</v>
      </c>
      <c r="D6" s="26">
        <v>76026</v>
      </c>
      <c r="E6" s="24" t="s">
        <v>24</v>
      </c>
      <c r="F6" s="24" t="s">
        <v>24</v>
      </c>
      <c r="G6" s="24" t="s">
        <v>24</v>
      </c>
      <c r="H6" s="24" t="s">
        <v>24</v>
      </c>
      <c r="I6" s="24" t="s">
        <v>24</v>
      </c>
    </row>
    <row r="7" spans="1:9" x14ac:dyDescent="0.25">
      <c r="A7" t="s">
        <v>94</v>
      </c>
      <c r="B7" s="22" t="s">
        <v>24</v>
      </c>
      <c r="C7" s="22" t="s">
        <v>24</v>
      </c>
      <c r="D7" s="22" t="s">
        <v>24</v>
      </c>
      <c r="E7" s="24" t="s">
        <v>24</v>
      </c>
      <c r="F7" s="24" t="s">
        <v>24</v>
      </c>
      <c r="G7" s="24" t="s">
        <v>24</v>
      </c>
      <c r="H7" s="24" t="s">
        <v>24</v>
      </c>
      <c r="I7" s="24" t="s">
        <v>24</v>
      </c>
    </row>
    <row r="8" spans="1:9" x14ac:dyDescent="0.25">
      <c r="A8" t="s">
        <v>146</v>
      </c>
      <c r="B8" s="22" t="s">
        <v>24</v>
      </c>
      <c r="C8" s="22" t="s">
        <v>24</v>
      </c>
      <c r="D8" s="22" t="s">
        <v>24</v>
      </c>
      <c r="E8" s="24" t="s">
        <v>24</v>
      </c>
      <c r="F8" s="24" t="s">
        <v>24</v>
      </c>
      <c r="G8" s="24" t="s">
        <v>24</v>
      </c>
      <c r="H8" s="24" t="s">
        <v>24</v>
      </c>
      <c r="I8" s="24" t="s">
        <v>24</v>
      </c>
    </row>
    <row r="9" spans="1:9" x14ac:dyDescent="0.25">
      <c r="A9" t="s">
        <v>147</v>
      </c>
      <c r="B9" s="22" t="s">
        <v>24</v>
      </c>
      <c r="C9" s="22" t="s">
        <v>24</v>
      </c>
      <c r="D9" s="22" t="s">
        <v>24</v>
      </c>
      <c r="E9" s="24" t="s">
        <v>24</v>
      </c>
      <c r="F9" s="24" t="s">
        <v>24</v>
      </c>
      <c r="G9" s="24" t="s">
        <v>24</v>
      </c>
      <c r="H9" s="24" t="s">
        <v>24</v>
      </c>
      <c r="I9" s="24" t="s">
        <v>24</v>
      </c>
    </row>
    <row r="10" spans="1:9" x14ac:dyDescent="0.25">
      <c r="A10" t="s">
        <v>148</v>
      </c>
      <c r="B10" s="22" t="s">
        <v>24</v>
      </c>
      <c r="C10" s="22" t="s">
        <v>24</v>
      </c>
      <c r="D10" s="22" t="s">
        <v>24</v>
      </c>
      <c r="E10" s="24" t="s">
        <v>24</v>
      </c>
      <c r="F10" s="24" t="s">
        <v>24</v>
      </c>
      <c r="G10" s="24" t="s">
        <v>24</v>
      </c>
      <c r="H10" s="24" t="s">
        <v>24</v>
      </c>
      <c r="I10" s="24" t="s">
        <v>24</v>
      </c>
    </row>
    <row r="11" spans="1:9" x14ac:dyDescent="0.25">
      <c r="A11" t="s">
        <v>149</v>
      </c>
      <c r="B11" s="22" t="s">
        <v>24</v>
      </c>
      <c r="C11" s="22" t="s">
        <v>24</v>
      </c>
      <c r="D11" s="22" t="s">
        <v>24</v>
      </c>
      <c r="E11" s="24" t="s">
        <v>24</v>
      </c>
      <c r="F11" s="24" t="s">
        <v>24</v>
      </c>
      <c r="G11" s="24" t="s">
        <v>24</v>
      </c>
      <c r="H11" s="24" t="s">
        <v>24</v>
      </c>
      <c r="I11" s="24" t="s">
        <v>24</v>
      </c>
    </row>
    <row r="12" spans="1:9" x14ac:dyDescent="0.25">
      <c r="A12" t="s">
        <v>150</v>
      </c>
      <c r="B12" s="22" t="s">
        <v>24</v>
      </c>
      <c r="C12" s="22" t="s">
        <v>24</v>
      </c>
      <c r="D12" s="22" t="s">
        <v>24</v>
      </c>
      <c r="E12" s="24" t="s">
        <v>24</v>
      </c>
      <c r="F12" s="24" t="s">
        <v>24</v>
      </c>
      <c r="G12" s="24" t="s">
        <v>24</v>
      </c>
      <c r="H12" s="24" t="s">
        <v>24</v>
      </c>
      <c r="I12" s="24" t="s">
        <v>24</v>
      </c>
    </row>
    <row r="13" spans="1:9" x14ac:dyDescent="0.25">
      <c r="A13" s="5" t="s">
        <v>151</v>
      </c>
      <c r="B13" s="25" t="s">
        <v>24</v>
      </c>
      <c r="C13" s="25" t="s">
        <v>24</v>
      </c>
      <c r="D13" s="25" t="s">
        <v>24</v>
      </c>
      <c r="E13" s="21" t="s">
        <v>24</v>
      </c>
      <c r="F13" s="21" t="s">
        <v>24</v>
      </c>
      <c r="G13" s="21" t="s">
        <v>24</v>
      </c>
      <c r="H13" s="21" t="s">
        <v>24</v>
      </c>
      <c r="I13" s="21" t="s">
        <v>24</v>
      </c>
    </row>
    <row r="14" spans="1:9" x14ac:dyDescent="0.25">
      <c r="A14" s="3" t="s">
        <v>152</v>
      </c>
      <c r="B14" s="4"/>
      <c r="C14" s="4"/>
      <c r="D14" s="4"/>
      <c r="E14" s="4"/>
      <c r="F14" s="4"/>
      <c r="G14" s="4"/>
      <c r="H14" s="4"/>
      <c r="I14" s="4"/>
    </row>
    <row r="15" spans="1:9" x14ac:dyDescent="0.25">
      <c r="A15" t="s">
        <v>153</v>
      </c>
      <c r="B15" s="22" t="s">
        <v>24</v>
      </c>
      <c r="C15" s="22" t="s">
        <v>24</v>
      </c>
      <c r="D15" s="22" t="s">
        <v>24</v>
      </c>
      <c r="E15" s="24" t="s">
        <v>24</v>
      </c>
      <c r="F15" s="24" t="s">
        <v>24</v>
      </c>
      <c r="G15" s="24" t="s">
        <v>24</v>
      </c>
      <c r="H15" s="24" t="s">
        <v>24</v>
      </c>
      <c r="I15" s="24" t="s">
        <v>24</v>
      </c>
    </row>
    <row r="16" spans="1:9" x14ac:dyDescent="0.25">
      <c r="A16" t="s">
        <v>154</v>
      </c>
      <c r="B16" s="22" t="s">
        <v>24</v>
      </c>
      <c r="C16" s="22" t="s">
        <v>24</v>
      </c>
      <c r="D16" s="22" t="s">
        <v>24</v>
      </c>
      <c r="E16" s="24" t="s">
        <v>24</v>
      </c>
      <c r="F16" s="24" t="s">
        <v>24</v>
      </c>
      <c r="G16" s="24" t="s">
        <v>24</v>
      </c>
      <c r="H16" s="24" t="s">
        <v>24</v>
      </c>
      <c r="I16" s="24" t="s">
        <v>24</v>
      </c>
    </row>
    <row r="17" spans="1:9" x14ac:dyDescent="0.25">
      <c r="A17" t="s">
        <v>155</v>
      </c>
      <c r="B17" s="22" t="s">
        <v>24</v>
      </c>
      <c r="C17" s="22" t="s">
        <v>24</v>
      </c>
      <c r="D17" s="22" t="s">
        <v>24</v>
      </c>
      <c r="E17" s="24" t="s">
        <v>24</v>
      </c>
      <c r="F17" s="24" t="s">
        <v>24</v>
      </c>
      <c r="G17" s="24" t="s">
        <v>24</v>
      </c>
      <c r="H17" s="24" t="s">
        <v>24</v>
      </c>
      <c r="I17" s="24" t="s">
        <v>24</v>
      </c>
    </row>
    <row r="18" spans="1:9" x14ac:dyDescent="0.25">
      <c r="A18" s="5" t="s">
        <v>156</v>
      </c>
      <c r="B18" s="25" t="s">
        <v>24</v>
      </c>
      <c r="C18" s="25" t="s">
        <v>24</v>
      </c>
      <c r="D18" s="25" t="s">
        <v>24</v>
      </c>
      <c r="E18" s="21" t="s">
        <v>24</v>
      </c>
      <c r="F18" s="21" t="s">
        <v>24</v>
      </c>
      <c r="G18" s="21" t="s">
        <v>24</v>
      </c>
      <c r="H18" s="21" t="s">
        <v>24</v>
      </c>
      <c r="I18" s="21" t="s">
        <v>24</v>
      </c>
    </row>
    <row r="19" spans="1:9" x14ac:dyDescent="0.25">
      <c r="A19" s="3" t="s">
        <v>157</v>
      </c>
      <c r="B19" s="4"/>
      <c r="C19" s="4"/>
      <c r="D19" s="4"/>
      <c r="E19" s="4"/>
      <c r="F19" s="4"/>
      <c r="G19" s="4"/>
      <c r="H19" s="4"/>
      <c r="I19" s="4"/>
    </row>
    <row r="20" spans="1:9" x14ac:dyDescent="0.25">
      <c r="A20" t="s">
        <v>158</v>
      </c>
      <c r="B20" s="22" t="s">
        <v>24</v>
      </c>
      <c r="C20" s="22" t="s">
        <v>24</v>
      </c>
      <c r="D20" s="22" t="s">
        <v>24</v>
      </c>
      <c r="E20" s="24" t="s">
        <v>24</v>
      </c>
      <c r="F20" s="24" t="s">
        <v>24</v>
      </c>
      <c r="G20" s="24" t="s">
        <v>24</v>
      </c>
      <c r="H20" s="24" t="s">
        <v>24</v>
      </c>
      <c r="I20" s="24" t="s">
        <v>24</v>
      </c>
    </row>
    <row r="21" spans="1:9" x14ac:dyDescent="0.25">
      <c r="A21" t="s">
        <v>159</v>
      </c>
      <c r="B21" s="26">
        <v>-8404.4</v>
      </c>
      <c r="C21" s="26">
        <v>-14826.2</v>
      </c>
      <c r="D21" s="26">
        <v>-20706</v>
      </c>
      <c r="E21" s="24" t="s">
        <v>24</v>
      </c>
      <c r="F21" s="24" t="s">
        <v>24</v>
      </c>
      <c r="G21" s="24" t="s">
        <v>24</v>
      </c>
      <c r="H21" s="24" t="s">
        <v>24</v>
      </c>
      <c r="I21" s="24" t="s">
        <v>24</v>
      </c>
    </row>
    <row r="22" spans="1:9" x14ac:dyDescent="0.25">
      <c r="A22" t="s">
        <v>160</v>
      </c>
      <c r="B22" s="22" t="s">
        <v>24</v>
      </c>
      <c r="C22" s="22" t="s">
        <v>24</v>
      </c>
      <c r="D22" s="22" t="s">
        <v>24</v>
      </c>
      <c r="E22" s="24" t="s">
        <v>24</v>
      </c>
      <c r="F22" s="24" t="s">
        <v>24</v>
      </c>
      <c r="G22" s="24" t="s">
        <v>24</v>
      </c>
      <c r="H22" s="24" t="s">
        <v>24</v>
      </c>
      <c r="I22" s="24" t="s">
        <v>24</v>
      </c>
    </row>
    <row r="23" spans="1:9" x14ac:dyDescent="0.25">
      <c r="A23" t="s">
        <v>161</v>
      </c>
      <c r="B23" s="22" t="s">
        <v>24</v>
      </c>
      <c r="C23" s="22" t="s">
        <v>24</v>
      </c>
      <c r="D23" s="22" t="s">
        <v>24</v>
      </c>
      <c r="E23" s="24" t="s">
        <v>24</v>
      </c>
      <c r="F23" s="24" t="s">
        <v>24</v>
      </c>
      <c r="G23" s="24" t="s">
        <v>24</v>
      </c>
      <c r="H23" s="24" t="s">
        <v>24</v>
      </c>
      <c r="I23" s="24" t="s">
        <v>24</v>
      </c>
    </row>
    <row r="24" spans="1:9" x14ac:dyDescent="0.25">
      <c r="A24" s="5" t="s">
        <v>162</v>
      </c>
      <c r="B24" s="25" t="s">
        <v>24</v>
      </c>
      <c r="C24" s="25" t="s">
        <v>24</v>
      </c>
      <c r="D24" s="25" t="s">
        <v>24</v>
      </c>
      <c r="E24" s="21" t="s">
        <v>24</v>
      </c>
      <c r="F24" s="21" t="s">
        <v>24</v>
      </c>
      <c r="G24" s="21" t="s">
        <v>24</v>
      </c>
      <c r="H24" s="21" t="s">
        <v>24</v>
      </c>
      <c r="I24" s="21" t="s">
        <v>24</v>
      </c>
    </row>
    <row r="25" spans="1:9" x14ac:dyDescent="0.25">
      <c r="A25" s="5" t="s">
        <v>163</v>
      </c>
      <c r="B25" s="25" t="s">
        <v>24</v>
      </c>
      <c r="C25" s="25" t="s">
        <v>24</v>
      </c>
      <c r="D25" s="25" t="s">
        <v>24</v>
      </c>
      <c r="E25" s="21" t="s">
        <v>24</v>
      </c>
      <c r="F25" s="21" t="s">
        <v>24</v>
      </c>
      <c r="G25" s="21" t="s">
        <v>24</v>
      </c>
      <c r="H25" s="21" t="s">
        <v>24</v>
      </c>
      <c r="I25" s="21" t="s">
        <v>24</v>
      </c>
    </row>
    <row r="26" spans="1:9" x14ac:dyDescent="0.25">
      <c r="A26" t="s">
        <v>164</v>
      </c>
      <c r="B26" s="22" t="s">
        <v>24</v>
      </c>
      <c r="C26" s="22" t="s">
        <v>24</v>
      </c>
      <c r="D26" s="22" t="s">
        <v>24</v>
      </c>
      <c r="E26" s="24" t="s">
        <v>24</v>
      </c>
      <c r="F26" s="24" t="s">
        <v>24</v>
      </c>
      <c r="G26" s="24" t="s">
        <v>24</v>
      </c>
      <c r="H26" s="24" t="s">
        <v>24</v>
      </c>
      <c r="I26" s="24" t="s">
        <v>24</v>
      </c>
    </row>
    <row r="27" spans="1:9" x14ac:dyDescent="0.25">
      <c r="A27" s="5" t="s">
        <v>165</v>
      </c>
      <c r="B27" s="25" t="s">
        <v>24</v>
      </c>
      <c r="C27" s="25" t="s">
        <v>24</v>
      </c>
      <c r="D27" s="25" t="s">
        <v>24</v>
      </c>
      <c r="E27" s="21" t="s">
        <v>24</v>
      </c>
      <c r="F27" s="21" t="s">
        <v>24</v>
      </c>
      <c r="G27" s="21" t="s">
        <v>24</v>
      </c>
      <c r="H27" s="21" t="s">
        <v>24</v>
      </c>
      <c r="I27" s="21" t="s">
        <v>24</v>
      </c>
    </row>
    <row r="29" spans="1:9" x14ac:dyDescent="0.25">
      <c r="A29" s="3" t="s">
        <v>166</v>
      </c>
      <c r="B29" s="4"/>
      <c r="C29" s="4"/>
      <c r="D29" s="4"/>
      <c r="E29" s="4"/>
      <c r="F29" s="4"/>
      <c r="G29" s="4"/>
      <c r="H29" s="4"/>
      <c r="I29" s="4"/>
    </row>
    <row r="30" spans="1:9" x14ac:dyDescent="0.25">
      <c r="A30" s="5" t="s">
        <v>167</v>
      </c>
      <c r="B30" s="5" t="s">
        <v>24</v>
      </c>
      <c r="C30" s="5" t="s">
        <v>24</v>
      </c>
      <c r="D30" s="5" t="s">
        <v>24</v>
      </c>
      <c r="E30" s="12" t="s">
        <v>24</v>
      </c>
      <c r="F30" s="12" t="s">
        <v>24</v>
      </c>
      <c r="G30" s="12" t="s">
        <v>24</v>
      </c>
      <c r="H30" s="12" t="s">
        <v>24</v>
      </c>
      <c r="I30" s="12" t="s">
        <v>24</v>
      </c>
    </row>
    <row r="31" spans="1:9" x14ac:dyDescent="0.25">
      <c r="A31" t="s">
        <v>168</v>
      </c>
      <c r="B31" t="s">
        <v>24</v>
      </c>
      <c r="C31" t="s">
        <v>24</v>
      </c>
      <c r="D31" t="s">
        <v>24</v>
      </c>
      <c r="E31" s="13" t="s">
        <v>24</v>
      </c>
      <c r="F31" s="13" t="s">
        <v>24</v>
      </c>
      <c r="G31" s="13" t="s">
        <v>24</v>
      </c>
      <c r="H31" s="13" t="s">
        <v>24</v>
      </c>
      <c r="I31" s="13" t="s">
        <v>24</v>
      </c>
    </row>
    <row r="32" spans="1:9" x14ac:dyDescent="0.25">
      <c r="A32" t="s">
        <v>169</v>
      </c>
      <c r="B32" t="s">
        <v>24</v>
      </c>
      <c r="C32" t="s">
        <v>24</v>
      </c>
      <c r="D32" t="s">
        <v>24</v>
      </c>
      <c r="E32" s="13" t="s">
        <v>24</v>
      </c>
      <c r="F32" s="13" t="s">
        <v>24</v>
      </c>
      <c r="G32" s="13" t="s">
        <v>24</v>
      </c>
      <c r="H32" s="13" t="s">
        <v>24</v>
      </c>
      <c r="I32" s="13" t="s">
        <v>24</v>
      </c>
    </row>
    <row r="33" spans="1:1" x14ac:dyDescent="0.25">
      <c r="A33" s="2" t="s">
        <v>170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pane xSplit="1" ySplit="4" topLeftCell="B5" activePane="bottomRight" state="frozen"/>
      <selection pane="bottomRight"/>
    </sheetView>
  </sheetViews>
  <sheetFormatPr defaultRowHeight="15" outlineLevelRow="0" outlineLevelCol="0" x14ac:dyDescent="55"/>
  <cols>
    <col min="1" max="1" width="40" customWidth="1"/>
    <col min="2" max="2" width="16" customWidth="1"/>
    <col min="3" max="3" width="44" customWidth="1"/>
    <col min="4" max="8" width="13" customWidth="1"/>
    <col min="11" max="11" width="90" customWidth="1"/>
  </cols>
  <sheetData>
    <row r="1" spans="1:1" x14ac:dyDescent="0.25">
      <c r="A1" s="1" t="s">
        <v>171</v>
      </c>
    </row>
    <row r="2" spans="1:1" x14ac:dyDescent="0.25">
      <c r="A2" s="2" t="s">
        <v>172</v>
      </c>
    </row>
    <row r="4" spans="1:11" x14ac:dyDescent="0.25">
      <c r="A4" s="9" t="s">
        <v>173</v>
      </c>
      <c r="B4" s="10" t="s">
        <v>174</v>
      </c>
      <c r="C4" s="10" t="s">
        <v>175</v>
      </c>
      <c r="D4" s="10" t="s">
        <v>176</v>
      </c>
      <c r="E4" s="10" t="s">
        <v>177</v>
      </c>
      <c r="F4" s="10" t="s">
        <v>178</v>
      </c>
      <c r="G4" s="10" t="s">
        <v>179</v>
      </c>
      <c r="H4" s="10" t="s">
        <v>180</v>
      </c>
      <c r="I4" s="10" t="s">
        <v>181</v>
      </c>
      <c r="J4" s="10" t="s">
        <v>8</v>
      </c>
      <c r="K4" s="10" t="s">
        <v>182</v>
      </c>
    </row>
    <row r="5" spans="1:11" x14ac:dyDescent="0.25">
      <c r="A5" s="5" t="s">
        <v>183</v>
      </c>
      <c r="B5" t="s">
        <v>184</v>
      </c>
      <c r="C5" s="2" t="s">
        <v>185</v>
      </c>
      <c r="D5" s="14">
        <v>9.040174416351988</v>
      </c>
      <c r="E5" s="14">
        <v>9.040174416351988</v>
      </c>
      <c r="F5" s="14">
        <v>9.040174416351988</v>
      </c>
      <c r="G5" s="14">
        <v>9.040174416351988</v>
      </c>
      <c r="H5" s="14">
        <v>9.040174416351988</v>
      </c>
      <c r="I5" t="s">
        <v>186</v>
      </c>
      <c r="J5" t="s">
        <v>187</v>
      </c>
      <c r="K5" s="8" t="s">
        <v>188</v>
      </c>
    </row>
    <row r="6" spans="1:11" x14ac:dyDescent="0.25">
      <c r="A6" s="5" t="s">
        <v>189</v>
      </c>
      <c r="B6" t="s">
        <v>184</v>
      </c>
      <c r="C6" s="2" t="s">
        <v>185</v>
      </c>
      <c r="D6" s="14">
        <v>14.196084734268144</v>
      </c>
      <c r="E6" s="14">
        <v>14.196084734268144</v>
      </c>
      <c r="F6" s="14">
        <v>14.196084734268144</v>
      </c>
      <c r="G6" s="14">
        <v>14.196084734268144</v>
      </c>
      <c r="H6" s="14">
        <v>14.196084734268144</v>
      </c>
      <c r="I6" t="s">
        <v>186</v>
      </c>
      <c r="J6" t="s">
        <v>187</v>
      </c>
      <c r="K6" s="8" t="s">
        <v>188</v>
      </c>
    </row>
    <row r="7" spans="1:11" x14ac:dyDescent="0.25">
      <c r="A7" s="5" t="s">
        <v>190</v>
      </c>
      <c r="B7" t="s">
        <v>191</v>
      </c>
      <c r="C7" s="2" t="s">
        <v>185</v>
      </c>
      <c r="D7" s="14">
        <v>7.496731720164068</v>
      </c>
      <c r="E7" s="14">
        <v>7.496731720164068</v>
      </c>
      <c r="F7" s="14">
        <v>7.496731720164068</v>
      </c>
      <c r="G7" s="14">
        <v>7.496731720164068</v>
      </c>
      <c r="H7" s="14">
        <v>7.496731720164068</v>
      </c>
      <c r="I7" t="s">
        <v>186</v>
      </c>
      <c r="J7" t="s">
        <v>187</v>
      </c>
      <c r="K7" s="8" t="s">
        <v>188</v>
      </c>
    </row>
    <row r="8" spans="1:11" x14ac:dyDescent="0.25">
      <c r="A8" s="5" t="s">
        <v>192</v>
      </c>
      <c r="B8" t="s">
        <v>193</v>
      </c>
      <c r="C8" s="2" t="s">
        <v>185</v>
      </c>
      <c r="D8" s="14">
        <v>5.274411279176929</v>
      </c>
      <c r="E8" s="14">
        <v>5.274411279176929</v>
      </c>
      <c r="F8" s="14">
        <v>5.274411279176929</v>
      </c>
      <c r="G8" s="14">
        <v>5.274411279176929</v>
      </c>
      <c r="H8" s="14">
        <v>5.274411279176929</v>
      </c>
      <c r="I8" t="s">
        <v>186</v>
      </c>
      <c r="J8" t="s">
        <v>187</v>
      </c>
      <c r="K8" s="8" t="s">
        <v>188</v>
      </c>
    </row>
    <row r="9" spans="1:11" x14ac:dyDescent="0.25">
      <c r="A9" s="5" t="s">
        <v>194</v>
      </c>
      <c r="B9" t="s">
        <v>195</v>
      </c>
      <c r="C9" s="2" t="s">
        <v>185</v>
      </c>
      <c r="D9" s="14">
        <v>59.982501904621586</v>
      </c>
      <c r="E9" s="14">
        <v>59.982501904621586</v>
      </c>
      <c r="F9" s="14">
        <v>59.982501904621586</v>
      </c>
      <c r="G9" s="14">
        <v>59.982501904621586</v>
      </c>
      <c r="H9" s="14">
        <v>59.982501904621586</v>
      </c>
      <c r="I9" t="s">
        <v>186</v>
      </c>
      <c r="J9" t="s">
        <v>187</v>
      </c>
      <c r="K9" s="8" t="s">
        <v>188</v>
      </c>
    </row>
    <row r="10" spans="1:11" x14ac:dyDescent="0.25">
      <c r="A10" s="5" t="s">
        <v>196</v>
      </c>
      <c r="B10" t="s">
        <v>197</v>
      </c>
      <c r="C10" s="2" t="s">
        <v>185</v>
      </c>
      <c r="D10" s="14">
        <v>0.9230431370876025</v>
      </c>
      <c r="E10" s="14">
        <v>0.9230431370876025</v>
      </c>
      <c r="F10" s="14">
        <v>0.9230431370876025</v>
      </c>
      <c r="G10" s="14">
        <v>0.9230431370876025</v>
      </c>
      <c r="H10" s="14">
        <v>0.9230431370876025</v>
      </c>
      <c r="I10" t="s">
        <v>186</v>
      </c>
      <c r="J10" t="s">
        <v>187</v>
      </c>
      <c r="K10" s="8" t="s">
        <v>188</v>
      </c>
    </row>
    <row r="11" spans="1:11" x14ac:dyDescent="0.25">
      <c r="A11" s="5" t="s">
        <v>198</v>
      </c>
      <c r="B11" t="s">
        <v>199</v>
      </c>
      <c r="C11" s="2" t="s">
        <v>185</v>
      </c>
      <c r="D11" s="14">
        <v>0.21757065521254162</v>
      </c>
      <c r="E11" s="14">
        <v>0.21757065521254162</v>
      </c>
      <c r="F11" s="14">
        <v>0.21757065521254162</v>
      </c>
      <c r="G11" s="14">
        <v>0.21757065521254162</v>
      </c>
      <c r="H11" s="14">
        <v>0.21757065521254162</v>
      </c>
      <c r="I11" t="s">
        <v>186</v>
      </c>
      <c r="J11" t="s">
        <v>187</v>
      </c>
      <c r="K11" s="8" t="s">
        <v>188</v>
      </c>
    </row>
    <row r="12" spans="1:11" x14ac:dyDescent="0.25">
      <c r="A12" s="5" t="s">
        <v>200</v>
      </c>
      <c r="B12" t="s">
        <v>201</v>
      </c>
      <c r="C12" s="2" t="s">
        <v>185</v>
      </c>
      <c r="D12" s="14">
        <v>23.165703197639164</v>
      </c>
      <c r="E12" s="14">
        <v>23.165703197639164</v>
      </c>
      <c r="F12" s="14">
        <v>23.165703197639164</v>
      </c>
      <c r="G12" s="14">
        <v>23.165703197639164</v>
      </c>
      <c r="H12" s="14">
        <v>23.165703197639164</v>
      </c>
      <c r="I12" t="s">
        <v>186</v>
      </c>
      <c r="J12" t="s">
        <v>187</v>
      </c>
      <c r="K12" s="8" t="s">
        <v>188</v>
      </c>
    </row>
    <row r="15" spans="1:6" x14ac:dyDescent="0.25">
      <c r="A15" s="3" t="s">
        <v>202</v>
      </c>
      <c r="B15" s="4"/>
      <c r="C15" s="4"/>
      <c r="D15" s="4"/>
      <c r="E15" s="4"/>
      <c r="F15" s="4"/>
    </row>
    <row r="16" spans="1:3" x14ac:dyDescent="0.25">
      <c r="A16" t="s">
        <v>203</v>
      </c>
      <c r="C16" s="5" t="s">
        <v>204</v>
      </c>
    </row>
    <row r="17" spans="1:3" x14ac:dyDescent="0.25">
      <c r="A17" t="s">
        <v>174</v>
      </c>
      <c r="C17" t="s">
        <v>205</v>
      </c>
    </row>
    <row r="18" ht="80" customHeight="1" spans="1:8" x14ac:dyDescent="0.25">
      <c r="A18" t="s">
        <v>206</v>
      </c>
      <c r="C18" s="8" t="s">
        <v>207</v>
      </c>
      <c r="D18" s="8"/>
      <c r="E18" s="8"/>
      <c r="F18" s="8"/>
      <c r="G18" s="8"/>
      <c r="H18" s="8"/>
    </row>
  </sheetData>
  <mergeCells count="1">
    <mergeCell ref="C18:H18"/>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22" customWidth="1"/>
    <col min="3" max="3" width="16" customWidth="1"/>
    <col min="4" max="4" width="70" customWidth="1"/>
    <col min="5" max="7" width="16" customWidth="1"/>
  </cols>
  <sheetData>
    <row r="1" spans="1:1" x14ac:dyDescent="0.25">
      <c r="A1" s="1" t="s">
        <v>208</v>
      </c>
    </row>
    <row r="2" spans="1:1" x14ac:dyDescent="0.25">
      <c r="A2" s="2" t="s">
        <v>209</v>
      </c>
    </row>
    <row r="4" spans="1:7" x14ac:dyDescent="0.25">
      <c r="A4" s="3" t="s">
        <v>210</v>
      </c>
      <c r="B4" s="4"/>
      <c r="C4" s="4"/>
      <c r="D4" s="4"/>
      <c r="E4" s="4"/>
      <c r="F4" s="4"/>
      <c r="G4" s="4"/>
    </row>
    <row r="5" spans="1:2" x14ac:dyDescent="0.25">
      <c r="A5" t="s">
        <v>211</v>
      </c>
      <c r="B5" s="5" t="s">
        <v>7</v>
      </c>
    </row>
    <row r="6" spans="1:2" x14ac:dyDescent="0.25">
      <c r="A6" t="s">
        <v>4</v>
      </c>
      <c r="B6" s="6">
        <v>420.32</v>
      </c>
    </row>
    <row r="7" spans="1:2" x14ac:dyDescent="0.25">
      <c r="A7" t="s">
        <v>3</v>
      </c>
      <c r="B7" s="14">
        <v>692.8</v>
      </c>
    </row>
    <row r="8" spans="1:2" x14ac:dyDescent="0.25">
      <c r="A8" t="s">
        <v>5</v>
      </c>
      <c r="B8" s="7">
        <f>B6/B7-1</f>
        <v>-0.39330254041570434</v>
      </c>
    </row>
    <row r="9" spans="1:3" x14ac:dyDescent="0.25">
      <c r="A9" t="s">
        <v>8</v>
      </c>
      <c r="B9" t="s">
        <v>9</v>
      </c>
      <c r="C9" s="2" t="s">
        <v>212</v>
      </c>
    </row>
    <row r="10" spans="1:2" x14ac:dyDescent="0.25">
      <c r="A10" t="s">
        <v>10</v>
      </c>
      <c r="B10" s="5" t="s">
        <v>74</v>
      </c>
    </row>
    <row r="11" spans="1:2" x14ac:dyDescent="0.25">
      <c r="A11" t="s">
        <v>213</v>
      </c>
      <c r="B11" t="s">
        <v>214</v>
      </c>
    </row>
    <row r="14" spans="1:7" x14ac:dyDescent="0.25">
      <c r="A14" s="3" t="s">
        <v>215</v>
      </c>
      <c r="B14" s="4"/>
      <c r="C14" s="4"/>
      <c r="D14" s="4"/>
      <c r="E14" s="4"/>
      <c r="F14" s="4"/>
      <c r="G14" s="4"/>
    </row>
    <row r="15" spans="1:6" x14ac:dyDescent="0.25">
      <c r="A15" s="9" t="s">
        <v>211</v>
      </c>
      <c r="B15" s="10" t="s">
        <v>216</v>
      </c>
      <c r="C15" s="10" t="s">
        <v>217</v>
      </c>
      <c r="D15" s="10" t="s">
        <v>218</v>
      </c>
      <c r="E15" s="10" t="s">
        <v>219</v>
      </c>
      <c r="F15" s="10" t="s">
        <v>220</v>
      </c>
    </row>
    <row r="16" spans="1:6" x14ac:dyDescent="0.25">
      <c r="A16" t="s">
        <v>221</v>
      </c>
      <c r="B16" s="14">
        <v>362.68</v>
      </c>
      <c r="C16" s="14">
        <v>420.32</v>
      </c>
      <c r="D16" s="14">
        <v>496.3</v>
      </c>
      <c r="E16" s="17">
        <v>100</v>
      </c>
      <c r="F16" t="s">
        <v>222</v>
      </c>
    </row>
    <row r="17" spans="1:6" x14ac:dyDescent="0.25">
      <c r="A17" t="s">
        <v>223</v>
      </c>
      <c r="B17" s="14">
        <v>357.81</v>
      </c>
      <c r="C17" s="14">
        <v>405.84</v>
      </c>
      <c r="D17" s="14">
        <v>468.76</v>
      </c>
      <c r="E17" s="17">
        <v>0</v>
      </c>
      <c r="F17" t="s">
        <v>224</v>
      </c>
    </row>
    <row r="18" spans="1:6" x14ac:dyDescent="0.25">
      <c r="A18" t="s">
        <v>225</v>
      </c>
      <c r="B18" s="14">
        <v>347.05</v>
      </c>
      <c r="C18" s="14">
        <v>403.99</v>
      </c>
      <c r="D18" s="14">
        <v>479.22</v>
      </c>
      <c r="E18" s="17">
        <v>0</v>
      </c>
      <c r="F18" t="s">
        <v>224</v>
      </c>
    </row>
    <row r="20" spans="1:7" x14ac:dyDescent="0.25">
      <c r="A20" s="3" t="s">
        <v>226</v>
      </c>
      <c r="B20" s="4"/>
      <c r="C20" s="4"/>
      <c r="D20" s="4"/>
      <c r="E20" s="4"/>
      <c r="F20" s="4"/>
      <c r="G20" s="4"/>
    </row>
    <row r="21" spans="1:3" x14ac:dyDescent="0.25">
      <c r="A21" t="s">
        <v>227</v>
      </c>
      <c r="B21" t="s">
        <v>24</v>
      </c>
      <c r="C21" s="2" t="s">
        <v>228</v>
      </c>
    </row>
    <row r="22" spans="1:3" x14ac:dyDescent="0.25">
      <c r="A22" t="s">
        <v>229</v>
      </c>
      <c r="B22" t="s">
        <v>230</v>
      </c>
      <c r="C22" s="2" t="s">
        <v>231</v>
      </c>
    </row>
    <row r="24" spans="1:7" x14ac:dyDescent="0.25">
      <c r="A24" s="3" t="s">
        <v>232</v>
      </c>
      <c r="B24" s="4"/>
      <c r="C24" s="4"/>
      <c r="D24" s="4"/>
      <c r="E24" s="4"/>
      <c r="F24" s="4"/>
      <c r="G24" s="4"/>
    </row>
    <row r="25" spans="1:4" x14ac:dyDescent="0.25">
      <c r="A25" s="9" t="s">
        <v>233</v>
      </c>
      <c r="B25" s="10" t="s">
        <v>234</v>
      </c>
      <c r="C25" s="10" t="s">
        <v>235</v>
      </c>
      <c r="D25" s="10" t="s">
        <v>236</v>
      </c>
    </row>
    <row r="26" spans="1:4" x14ac:dyDescent="0.25">
      <c r="A26" t="s">
        <v>237</v>
      </c>
      <c r="B26" t="s">
        <v>238</v>
      </c>
      <c r="D26" s="8" t="s">
        <v>239</v>
      </c>
    </row>
    <row r="27" spans="1:4" x14ac:dyDescent="0.25">
      <c r="A27" t="s">
        <v>240</v>
      </c>
      <c r="B27" t="s">
        <v>238</v>
      </c>
      <c r="D27" s="8" t="s">
        <v>241</v>
      </c>
    </row>
    <row r="28" spans="1:4" x14ac:dyDescent="0.25">
      <c r="A28" t="s">
        <v>242</v>
      </c>
      <c r="B28" t="s">
        <v>238</v>
      </c>
      <c r="D28" s="8" t="s">
        <v>243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244</v>
      </c>
    </row>
    <row r="2" spans="1:1" x14ac:dyDescent="0.25">
      <c r="A2" s="2" t="s">
        <v>245</v>
      </c>
    </row>
    <row r="4" spans="1:16" x14ac:dyDescent="0.25">
      <c r="A4" s="3" t="s">
        <v>246</v>
      </c>
      <c r="B4" s="4"/>
      <c r="C4" s="4"/>
      <c r="D4" s="4"/>
      <c r="E4" s="4"/>
      <c r="F4" s="4"/>
      <c r="G4" s="4"/>
      <c r="H4" s="4"/>
      <c r="I4" s="4"/>
      <c r="J4" s="4"/>
      <c r="K4" s="4"/>
      <c r="L4" s="4"/>
      <c r="M4" s="4"/>
      <c r="N4" s="4"/>
      <c r="O4" s="4"/>
      <c r="P4" s="4"/>
    </row>
    <row r="5" spans="1:1" x14ac:dyDescent="0.25">
      <c r="A5" s="2" t="s">
        <v>247</v>
      </c>
    </row>
    <row r="6" spans="1:1" x14ac:dyDescent="0.25">
      <c r="A6" s="2" t="s">
        <v>248</v>
      </c>
    </row>
    <row r="7" spans="1:6" x14ac:dyDescent="0.25">
      <c r="A7" s="9" t="s">
        <v>249</v>
      </c>
      <c r="B7" s="10" t="s">
        <v>250</v>
      </c>
      <c r="C7" s="10" t="s">
        <v>38</v>
      </c>
      <c r="D7" s="10" t="s">
        <v>39</v>
      </c>
      <c r="E7" s="10" t="s">
        <v>251</v>
      </c>
      <c r="F7" s="10" t="s">
        <v>252</v>
      </c>
    </row>
    <row r="8" spans="1:6" x14ac:dyDescent="0.25">
      <c r="A8" s="29" t="s">
        <v>253</v>
      </c>
      <c r="B8" t="s">
        <v>254</v>
      </c>
      <c r="C8" s="30">
        <v>13.492142036632625</v>
      </c>
      <c r="D8" s="30">
        <v>1.7711498022267922</v>
      </c>
      <c r="E8" s="31">
        <v>1.88</v>
      </c>
      <c r="F8" s="31">
        <v>13.127269172070147</v>
      </c>
    </row>
    <row r="9" spans="1:6" x14ac:dyDescent="0.25">
      <c r="A9" t="s">
        <v>255</v>
      </c>
      <c r="B9" t="s">
        <v>256</v>
      </c>
      <c r="C9" s="15">
        <v>14.275387976495404</v>
      </c>
      <c r="D9" s="15">
        <v>1.6501556615069775</v>
      </c>
      <c r="E9" s="18">
        <v>0.08</v>
      </c>
      <c r="F9" s="18">
        <v>11.559445278993316</v>
      </c>
    </row>
    <row r="10" spans="1:6" x14ac:dyDescent="0.25">
      <c r="A10" t="s">
        <v>257</v>
      </c>
      <c r="B10" t="s">
        <v>256</v>
      </c>
      <c r="C10" s="15">
        <v>17.32775821596244</v>
      </c>
      <c r="D10" s="15">
        <v>2.5896296258080493</v>
      </c>
      <c r="E10" s="18">
        <v>0.86</v>
      </c>
      <c r="F10" s="18">
        <v>14.94497784152174</v>
      </c>
    </row>
    <row r="11" spans="1:6" x14ac:dyDescent="0.25">
      <c r="A11" t="s">
        <v>258</v>
      </c>
      <c r="B11" t="s">
        <v>256</v>
      </c>
      <c r="C11" s="15">
        <v>23.807237660721693</v>
      </c>
      <c r="D11" s="15">
        <v>2.3583967622980286</v>
      </c>
      <c r="E11" s="18">
        <v>0.14</v>
      </c>
      <c r="F11" s="18">
        <v>9.906217579324725</v>
      </c>
    </row>
    <row r="12" spans="1:6" x14ac:dyDescent="0.25">
      <c r="A12" s="5" t="s">
        <v>36</v>
      </c>
      <c r="C12" s="16">
        <f>MEDIAN(C9:C11)</f>
        <v>17.32775821596244</v>
      </c>
      <c r="D12" s="16">
        <f>MEDIAN(D9:D11)</f>
        <v>2.3583967622980286</v>
      </c>
      <c r="E12" s="19">
        <f>MEDIAN(E9:E11)</f>
        <v>0.14</v>
      </c>
      <c r="F12" s="19">
        <f>MEDIAN(F9:F11)</f>
        <v>11.559445278993316</v>
      </c>
    </row>
    <row r="13" spans="1:6" x14ac:dyDescent="0.25">
      <c r="A13" t="s">
        <v>259</v>
      </c>
      <c r="C13" s="15">
        <f>QUARTILE(C9:C11,1)</f>
        <v>15.801573096228921</v>
      </c>
      <c r="D13" s="15">
        <f>QUARTILE(D9:D11,1)</f>
        <v>2.004276211902503</v>
      </c>
      <c r="E13" s="18">
        <f>QUARTILE(E9:E11,1)</f>
        <v>0.11000000000000001</v>
      </c>
      <c r="F13" s="18">
        <f>QUARTILE(F9:F11,1)</f>
        <v>10.73283142915902</v>
      </c>
    </row>
    <row r="14" spans="1:6" x14ac:dyDescent="0.25">
      <c r="A14" t="s">
        <v>260</v>
      </c>
      <c r="C14" s="15">
        <f>QUARTILE(C9:C11,3)</f>
        <v>20.567497938342065</v>
      </c>
      <c r="D14" s="15">
        <f>QUARTILE(D9:D11,3)</f>
        <v>2.4740131940530388</v>
      </c>
      <c r="E14" s="18">
        <f>QUARTILE(E9:E11,3)</f>
        <v>0.5</v>
      </c>
      <c r="F14" s="18">
        <f>QUARTILE(F9:F11,3)</f>
        <v>13.252211560257528</v>
      </c>
    </row>
    <row r="15" spans="1:6" x14ac:dyDescent="0.25">
      <c r="A15" t="s">
        <v>261</v>
      </c>
      <c r="C15" s="15">
        <f>AVERAGE(C9:C11)</f>
        <v>18.470127951059848</v>
      </c>
      <c r="D15" s="15">
        <f>AVERAGE(D9:D11)</f>
        <v>2.1993940165376853</v>
      </c>
      <c r="E15" s="18">
        <f>AVERAGE(E9:E11)</f>
        <v>0.36000000000000004</v>
      </c>
      <c r="F15" s="18">
        <f>AVERAGE(F9:F11)</f>
        <v>12.136880233279927</v>
      </c>
    </row>
    <row r="16" spans="1:6" x14ac:dyDescent="0.25">
      <c r="A16" t="s">
        <v>262</v>
      </c>
      <c r="C16" s="17">
        <f>COUNT(C9:C11)</f>
        <v>3</v>
      </c>
      <c r="D16" s="17">
        <f>COUNT(D9:D11)</f>
        <v>3</v>
      </c>
      <c r="E16" s="17">
        <f>COUNT(E9:E11)</f>
        <v>3</v>
      </c>
      <c r="F16" s="17">
        <f>COUNT(F9:F11)</f>
        <v>3</v>
      </c>
    </row>
    <row r="17" spans="1:6" x14ac:dyDescent="0.25">
      <c r="A17" t="s">
        <v>263</v>
      </c>
      <c r="C17" t="s">
        <v>264</v>
      </c>
      <c r="D17" t="s">
        <v>264</v>
      </c>
      <c r="E17" t="s">
        <v>264</v>
      </c>
      <c r="F17" t="s">
        <v>264</v>
      </c>
    </row>
    <row r="18" spans="1:6" x14ac:dyDescent="0.25">
      <c r="A18" s="5" t="s">
        <v>265</v>
      </c>
      <c r="C18" s="7">
        <f>C8/C12-1</f>
        <v>-0.22135674629834234</v>
      </c>
      <c r="D18" s="7">
        <f>D8/D12-1</f>
        <v>-0.24900261459781747</v>
      </c>
      <c r="E18" s="7">
        <f>E8/E12-1</f>
        <v>12.428571428571427</v>
      </c>
      <c r="F18" s="7">
        <f>F8/F12-1</f>
        <v>0.13563141268776957</v>
      </c>
    </row>
    <row r="19" spans="1:1" x14ac:dyDescent="0.25">
      <c r="A19" s="2" t="s">
        <v>266</v>
      </c>
    </row>
    <row r="20" spans="1:1" x14ac:dyDescent="0.25">
      <c r="A20" s="2" t="s">
        <v>267</v>
      </c>
    </row>
    <row r="22" spans="1:1" x14ac:dyDescent="0.25">
      <c r="A22" s="2" t="s">
        <v>268</v>
      </c>
    </row>
    <row r="23" spans="1:1" x14ac:dyDescent="0.25">
      <c r="A23" s="2" t="s">
        <v>269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FormatPr defaultRowHeight="15" outlineLevelRow="0" outlineLevelCol="0" x14ac:dyDescent="55"/>
  <cols>
    <col min="1" max="1" width="52" customWidth="1"/>
    <col min="2" max="9" width="16" customWidth="1"/>
  </cols>
  <sheetData>
    <row r="1" spans="1:1" x14ac:dyDescent="0.25">
      <c r="A1" s="1" t="s">
        <v>270</v>
      </c>
    </row>
    <row r="2" spans="1:1" x14ac:dyDescent="0.25">
      <c r="A2" s="2" t="s">
        <v>271</v>
      </c>
    </row>
    <row r="4" spans="1:8" x14ac:dyDescent="0.25">
      <c r="A4" s="3" t="s">
        <v>272</v>
      </c>
      <c r="B4" s="4"/>
      <c r="C4" s="4"/>
      <c r="D4" s="4"/>
      <c r="E4" s="4"/>
      <c r="F4" s="4"/>
      <c r="G4" s="4"/>
      <c r="H4" s="4"/>
    </row>
    <row r="5" spans="1:1" x14ac:dyDescent="0.25">
      <c r="A5" t="s">
        <v>273</v>
      </c>
    </row>
    <row r="6" spans="1:2" x14ac:dyDescent="0.25">
      <c r="A6" t="s">
        <v>274</v>
      </c>
      <c r="B6" s="32">
        <v>12.45</v>
      </c>
    </row>
    <row r="7" spans="1:2" x14ac:dyDescent="0.25">
      <c r="A7" t="s">
        <v>275</v>
      </c>
      <c r="B7" s="32">
        <v>6.950000000000001</v>
      </c>
    </row>
    <row r="8" spans="1:2" x14ac:dyDescent="0.25">
      <c r="A8" t="s">
        <v>276</v>
      </c>
      <c r="B8" s="33">
        <v>1</v>
      </c>
    </row>
    <row r="9" spans="1:2" x14ac:dyDescent="0.25">
      <c r="A9" t="s">
        <v>277</v>
      </c>
      <c r="B9" s="32">
        <v>5.5</v>
      </c>
    </row>
    <row r="10" spans="1:2" x14ac:dyDescent="0.25">
      <c r="A10" t="s">
        <v>278</v>
      </c>
      <c r="B10" s="32">
        <v>12.45</v>
      </c>
    </row>
    <row r="11" spans="1:2" x14ac:dyDescent="0.25">
      <c r="A11" t="s">
        <v>279</v>
      </c>
      <c r="B11" t="s">
        <v>24</v>
      </c>
    </row>
    <row r="12" spans="1:2" x14ac:dyDescent="0.25">
      <c r="A12" t="s">
        <v>280</v>
      </c>
      <c r="B12" s="32">
        <v>5</v>
      </c>
    </row>
    <row r="13" spans="1:1" x14ac:dyDescent="0.25">
      <c r="A13" s="2" t="s">
        <v>281</v>
      </c>
    </row>
    <row r="15" spans="1:8" x14ac:dyDescent="0.25">
      <c r="A15" s="3" t="s">
        <v>282</v>
      </c>
      <c r="B15" s="4"/>
      <c r="C15" s="4"/>
      <c r="D15" s="4"/>
      <c r="E15" s="4"/>
      <c r="F15" s="4"/>
      <c r="G15" s="4"/>
      <c r="H15" s="4"/>
    </row>
    <row r="16" spans="1:1" x14ac:dyDescent="0.25">
      <c r="A16" s="2" t="s">
        <v>283</v>
      </c>
    </row>
    <row r="18" spans="1:8" x14ac:dyDescent="0.25">
      <c r="A18" s="3" t="s">
        <v>284</v>
      </c>
      <c r="B18" s="4"/>
      <c r="C18" s="4"/>
      <c r="D18" s="4"/>
      <c r="E18" s="4"/>
      <c r="F18" s="4"/>
      <c r="G18" s="4"/>
      <c r="H18" s="4"/>
    </row>
    <row r="19" spans="1:1" x14ac:dyDescent="0.25">
      <c r="A19" s="2" t="s">
        <v>285</v>
      </c>
    </row>
    <row r="20" spans="1:1" x14ac:dyDescent="0.25">
      <c r="A20" s="2" t="s">
        <v>286</v>
      </c>
    </row>
    <row r="21" spans="1:1" x14ac:dyDescent="0.25">
      <c r="A21" s="2" t="s">
        <v>287</v>
      </c>
    </row>
    <row r="22" spans="1:1" x14ac:dyDescent="0.25">
      <c r="A22" s="2" t="s">
        <v>288</v>
      </c>
    </row>
    <row r="23" spans="1:1" x14ac:dyDescent="0.25">
      <c r="A23" s="2" t="s">
        <v>289</v>
      </c>
    </row>
    <row r="24" spans="1:1" x14ac:dyDescent="0.25">
      <c r="A24" s="2" t="s">
        <v>290</v>
      </c>
    </row>
    <row r="26" spans="1:8" x14ac:dyDescent="0.25">
      <c r="A26" s="3" t="s">
        <v>291</v>
      </c>
      <c r="B26" s="4"/>
      <c r="C26" s="4"/>
      <c r="D26" s="4"/>
      <c r="E26" s="4"/>
      <c r="F26" s="4"/>
      <c r="G26" s="4"/>
      <c r="H26" s="4"/>
    </row>
    <row r="27" spans="1:2" x14ac:dyDescent="0.25">
      <c r="A27" s="5" t="s">
        <v>292</v>
      </c>
      <c r="B27" t="s">
        <v>293</v>
      </c>
    </row>
    <row r="28" spans="1:2" x14ac:dyDescent="0.25">
      <c r="A28" s="5" t="s">
        <v>186</v>
      </c>
      <c r="B28" t="s">
        <v>294</v>
      </c>
    </row>
    <row r="29" spans="1:2" x14ac:dyDescent="0.25">
      <c r="A29" s="5" t="s">
        <v>295</v>
      </c>
      <c r="B29" t="s">
        <v>296</v>
      </c>
    </row>
    <row r="30" spans="1:2" x14ac:dyDescent="0.25">
      <c r="A30" s="5" t="s">
        <v>297</v>
      </c>
      <c r="B30" t="s">
        <v>298</v>
      </c>
    </row>
    <row r="31" spans="1:2" x14ac:dyDescent="0.25">
      <c r="A31" s="5" t="s">
        <v>299</v>
      </c>
      <c r="B31" t="s">
        <v>300</v>
      </c>
    </row>
    <row r="32" spans="1:2" x14ac:dyDescent="0.25">
      <c r="A32" s="5" t="s">
        <v>71</v>
      </c>
      <c r="B32" t="s">
        <v>301</v>
      </c>
    </row>
    <row r="33" spans="1:2" x14ac:dyDescent="0.25">
      <c r="A33" s="5" t="s">
        <v>302</v>
      </c>
      <c r="B33" t="s">
        <v>303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304</v>
      </c>
    </row>
    <row r="2" spans="1:1" x14ac:dyDescent="0.25">
      <c r="A2" s="2" t="s">
        <v>305</v>
      </c>
    </row>
    <row r="4" spans="1:1" x14ac:dyDescent="0.25">
      <c r="A4" s="5" t="s">
        <v>306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1" width="14" customWidth="1"/>
  </cols>
  <sheetData>
    <row r="1" spans="1:1" x14ac:dyDescent="0.25">
      <c r="A1" s="1" t="s">
        <v>307</v>
      </c>
    </row>
    <row r="2" spans="1:1" x14ac:dyDescent="0.25">
      <c r="A2" s="2" t="s">
        <v>308</v>
      </c>
    </row>
    <row r="4" spans="1:9" x14ac:dyDescent="0.25">
      <c r="A4" s="3" t="s">
        <v>309</v>
      </c>
      <c r="B4" s="4"/>
      <c r="C4" s="4"/>
      <c r="D4" s="4"/>
      <c r="E4" s="4"/>
      <c r="F4" s="4"/>
      <c r="G4" s="4"/>
      <c r="H4" s="4"/>
      <c r="I4" s="4"/>
    </row>
    <row r="5" spans="1:9" x14ac:dyDescent="0.25">
      <c r="A5" s="9" t="s">
        <v>310</v>
      </c>
      <c r="B5" s="10" t="s">
        <v>14</v>
      </c>
      <c r="C5" s="10" t="s">
        <v>15</v>
      </c>
      <c r="D5" s="10" t="s">
        <v>16</v>
      </c>
      <c r="E5" s="10" t="s">
        <v>17</v>
      </c>
      <c r="F5" s="10" t="s">
        <v>18</v>
      </c>
      <c r="G5" s="10" t="s">
        <v>19</v>
      </c>
      <c r="H5" s="10" t="s">
        <v>20</v>
      </c>
      <c r="I5" s="10" t="s">
        <v>21</v>
      </c>
    </row>
    <row r="6" spans="1:9" x14ac:dyDescent="0.25">
      <c r="A6" t="s">
        <v>311</v>
      </c>
      <c r="B6" s="34">
        <f>'Income Statement'!B5/'Income Statement'!B5</f>
        <v>1</v>
      </c>
      <c r="C6" s="34">
        <f>'Income Statement'!C5/'Income Statement'!C5</f>
        <v>1</v>
      </c>
      <c r="D6" s="34">
        <f>'Income Statement'!D5/'Income Statement'!D5</f>
        <v>1</v>
      </c>
      <c r="E6" t="s">
        <v>24</v>
      </c>
      <c r="F6" t="s">
        <v>24</v>
      </c>
      <c r="G6" t="s">
        <v>24</v>
      </c>
      <c r="H6" t="s">
        <v>24</v>
      </c>
      <c r="I6" t="s">
        <v>24</v>
      </c>
    </row>
    <row r="7" spans="1:9" x14ac:dyDescent="0.25">
      <c r="A7" t="s">
        <v>312</v>
      </c>
      <c r="B7" t="s">
        <v>24</v>
      </c>
      <c r="C7" t="s">
        <v>24</v>
      </c>
      <c r="D7" t="s">
        <v>24</v>
      </c>
      <c r="E7" t="s">
        <v>24</v>
      </c>
      <c r="F7" t="s">
        <v>24</v>
      </c>
      <c r="G7" t="s">
        <v>24</v>
      </c>
      <c r="H7" t="s">
        <v>24</v>
      </c>
      <c r="I7" t="s">
        <v>24</v>
      </c>
    </row>
    <row r="8" spans="1:9" x14ac:dyDescent="0.25">
      <c r="A8" t="s">
        <v>313</v>
      </c>
      <c r="B8" t="s">
        <v>24</v>
      </c>
      <c r="C8" t="s">
        <v>24</v>
      </c>
      <c r="D8" t="s">
        <v>24</v>
      </c>
      <c r="E8" t="s">
        <v>24</v>
      </c>
      <c r="F8" t="s">
        <v>24</v>
      </c>
      <c r="G8" t="s">
        <v>24</v>
      </c>
      <c r="H8" t="s">
        <v>24</v>
      </c>
      <c r="I8" t="s">
        <v>24</v>
      </c>
    </row>
    <row r="9" spans="1:9" x14ac:dyDescent="0.25">
      <c r="A9" t="s">
        <v>91</v>
      </c>
      <c r="B9" t="s">
        <v>24</v>
      </c>
      <c r="C9" t="s">
        <v>24</v>
      </c>
      <c r="D9" t="s">
        <v>24</v>
      </c>
      <c r="E9" t="s">
        <v>24</v>
      </c>
      <c r="F9" t="s">
        <v>24</v>
      </c>
      <c r="G9" t="s">
        <v>24</v>
      </c>
      <c r="H9" t="s">
        <v>24</v>
      </c>
      <c r="I9" t="s">
        <v>24</v>
      </c>
    </row>
    <row r="10" spans="1:9" x14ac:dyDescent="0.25">
      <c r="A10" t="s">
        <v>25</v>
      </c>
      <c r="B10" t="s">
        <v>24</v>
      </c>
      <c r="C10" t="s">
        <v>24</v>
      </c>
      <c r="D10" t="s">
        <v>24</v>
      </c>
      <c r="E10" t="s">
        <v>24</v>
      </c>
      <c r="F10" t="s">
        <v>24</v>
      </c>
      <c r="G10" t="s">
        <v>24</v>
      </c>
      <c r="H10" t="s">
        <v>24</v>
      </c>
      <c r="I10" t="s">
        <v>24</v>
      </c>
    </row>
    <row r="11" spans="1:9" x14ac:dyDescent="0.25">
      <c r="A11" t="s">
        <v>314</v>
      </c>
      <c r="B11" t="s">
        <v>24</v>
      </c>
      <c r="C11" t="s">
        <v>24</v>
      </c>
      <c r="D11" t="s">
        <v>24</v>
      </c>
      <c r="E11" t="s">
        <v>24</v>
      </c>
      <c r="F11" t="s">
        <v>24</v>
      </c>
      <c r="G11" t="s">
        <v>24</v>
      </c>
      <c r="H11" t="s">
        <v>24</v>
      </c>
      <c r="I11" t="s">
        <v>24</v>
      </c>
    </row>
    <row r="12" spans="1:9" x14ac:dyDescent="0.25">
      <c r="A12" t="s">
        <v>315</v>
      </c>
      <c r="B12" t="s">
        <v>24</v>
      </c>
      <c r="C12" t="s">
        <v>24</v>
      </c>
      <c r="D12" t="s">
        <v>24</v>
      </c>
      <c r="E12" t="s">
        <v>24</v>
      </c>
      <c r="F12" t="s">
        <v>24</v>
      </c>
      <c r="G12" t="s">
        <v>24</v>
      </c>
      <c r="H12" t="s">
        <v>24</v>
      </c>
      <c r="I12" t="s">
        <v>24</v>
      </c>
    </row>
    <row r="13" spans="1:9" x14ac:dyDescent="0.25">
      <c r="A13" t="s">
        <v>316</v>
      </c>
      <c r="B13" s="34">
        <f>'Income Statement'!B15/'Income Statement'!B5</f>
        <v>0.6952269979911508</v>
      </c>
      <c r="C13" s="34">
        <f>'Income Statement'!C15/'Income Statement'!C5</f>
        <v>0.7142833784121538</v>
      </c>
      <c r="D13" s="34">
        <f>'Income Statement'!D15/'Income Statement'!D5</f>
        <v>0.7036151445446268</v>
      </c>
      <c r="E13" t="s">
        <v>24</v>
      </c>
      <c r="F13" t="s">
        <v>24</v>
      </c>
      <c r="G13" t="s">
        <v>24</v>
      </c>
      <c r="H13" t="s">
        <v>24</v>
      </c>
      <c r="I13" t="s">
        <v>24</v>
      </c>
    </row>
    <row r="14" spans="1:9" x14ac:dyDescent="0.25">
      <c r="A14" t="s">
        <v>317</v>
      </c>
      <c r="B14" s="34">
        <f>'Income Statement'!B16/'Income Statement'!B5</f>
        <v>0.3777955013152129</v>
      </c>
      <c r="C14" s="34">
        <f>'Income Statement'!C16/'Income Statement'!C5</f>
        <v>0.3905032724526821</v>
      </c>
      <c r="D14" s="34">
        <f>'Income Statement'!D16/'Income Statement'!D5</f>
        <v>0.37437959532388804</v>
      </c>
      <c r="E14" t="s">
        <v>24</v>
      </c>
      <c r="F14" t="s">
        <v>24</v>
      </c>
      <c r="G14" t="s">
        <v>24</v>
      </c>
      <c r="H14" t="s">
        <v>24</v>
      </c>
      <c r="I14" t="s">
        <v>24</v>
      </c>
    </row>
    <row r="15" spans="1:9" x14ac:dyDescent="0.25">
      <c r="A15" t="s">
        <v>100</v>
      </c>
      <c r="B15" s="34">
        <f>'Income Statement'!B18/'Income Statement'!B5</f>
        <v>0.1842771035317117</v>
      </c>
      <c r="C15" s="34">
        <f>'Income Statement'!C18/'Income Statement'!C5</f>
        <v>0.19874907600274275</v>
      </c>
      <c r="D15" s="34">
        <f>'Income Statement'!D18/'Income Statement'!D5</f>
        <v>0.19970819207654095</v>
      </c>
      <c r="E15" t="s">
        <v>24</v>
      </c>
      <c r="F15" t="s">
        <v>24</v>
      </c>
      <c r="G15" t="s">
        <v>24</v>
      </c>
      <c r="H15" t="s">
        <v>24</v>
      </c>
      <c r="I15" t="s">
        <v>24</v>
      </c>
    </row>
    <row r="16" spans="1:9" x14ac:dyDescent="0.25">
      <c r="A16" t="s">
        <v>318</v>
      </c>
      <c r="B16" s="34">
        <f>'Income Statement'!B19/'Income Statement'!B5</f>
        <v>0.027260396456033266</v>
      </c>
      <c r="C16" s="34">
        <f>'Income Statement'!C19/'Income Statement'!C5</f>
        <v>0.04842032303432524</v>
      </c>
      <c r="D16" s="34">
        <f>'Income Statement'!D19/'Income Statement'!D5</f>
        <v>0.04626380703782261</v>
      </c>
      <c r="E16" t="s">
        <v>24</v>
      </c>
      <c r="F16" t="s">
        <v>24</v>
      </c>
      <c r="G16" t="s">
        <v>24</v>
      </c>
      <c r="H16" t="s">
        <v>24</v>
      </c>
      <c r="I16" t="s">
        <v>24</v>
      </c>
    </row>
    <row r="17" spans="1:9" x14ac:dyDescent="0.25">
      <c r="A17" t="s">
        <v>27</v>
      </c>
      <c r="B17" s="34">
        <f>'Income Statement'!B20/'Income Statement'!B5</f>
        <v>0.1570167070756784</v>
      </c>
      <c r="C17" s="34">
        <f>'Income Statement'!C20/'Income Statement'!C5</f>
        <v>0.14470588060415884</v>
      </c>
      <c r="D17" s="34">
        <f>'Income Statement'!D20/'Income Statement'!D5</f>
        <v>0.15344438503871832</v>
      </c>
      <c r="E17" t="s">
        <v>24</v>
      </c>
      <c r="F17" t="s">
        <v>24</v>
      </c>
      <c r="G17" t="s">
        <v>24</v>
      </c>
      <c r="H17" t="s">
        <v>24</v>
      </c>
      <c r="I17" t="s">
        <v>24</v>
      </c>
    </row>
    <row r="19" spans="1:9" x14ac:dyDescent="0.25">
      <c r="A19" s="3" t="s">
        <v>319</v>
      </c>
      <c r="B19" s="4"/>
      <c r="C19" s="4"/>
      <c r="D19" s="4"/>
      <c r="E19" s="4"/>
      <c r="F19" s="4"/>
      <c r="G19" s="4"/>
      <c r="H19" s="4"/>
      <c r="I19" s="4"/>
    </row>
    <row r="20" spans="1:9" x14ac:dyDescent="0.25">
      <c r="A20" s="9" t="s">
        <v>320</v>
      </c>
      <c r="B20" s="10" t="s">
        <v>14</v>
      </c>
      <c r="C20" s="10" t="s">
        <v>15</v>
      </c>
      <c r="D20" s="10" t="s">
        <v>16</v>
      </c>
      <c r="E20" s="10" t="s">
        <v>17</v>
      </c>
      <c r="F20" s="10" t="s">
        <v>18</v>
      </c>
      <c r="G20" s="10" t="s">
        <v>19</v>
      </c>
      <c r="H20" s="10" t="s">
        <v>20</v>
      </c>
      <c r="I20" s="10" t="s">
        <v>21</v>
      </c>
    </row>
    <row r="21" spans="1:9" x14ac:dyDescent="0.25">
      <c r="A21" t="s">
        <v>321</v>
      </c>
      <c r="B21" t="s">
        <v>24</v>
      </c>
      <c r="C21" t="s">
        <v>24</v>
      </c>
      <c r="D21" t="s">
        <v>24</v>
      </c>
      <c r="E21" t="s">
        <v>24</v>
      </c>
      <c r="F21" t="s">
        <v>24</v>
      </c>
      <c r="G21" t="s">
        <v>24</v>
      </c>
      <c r="H21" t="s">
        <v>24</v>
      </c>
      <c r="I21" t="s">
        <v>24</v>
      </c>
    </row>
    <row r="22" spans="1:9" x14ac:dyDescent="0.25">
      <c r="A22" t="s">
        <v>322</v>
      </c>
      <c r="B22" t="s">
        <v>24</v>
      </c>
      <c r="C22" t="s">
        <v>24</v>
      </c>
      <c r="D22" t="s">
        <v>24</v>
      </c>
      <c r="E22" t="s">
        <v>24</v>
      </c>
      <c r="F22" t="s">
        <v>24</v>
      </c>
      <c r="G22" t="s">
        <v>24</v>
      </c>
      <c r="H22" t="s">
        <v>24</v>
      </c>
      <c r="I22" t="s">
        <v>24</v>
      </c>
    </row>
    <row r="23" spans="1:9" x14ac:dyDescent="0.25">
      <c r="A23" t="s">
        <v>323</v>
      </c>
      <c r="B23" t="s">
        <v>24</v>
      </c>
      <c r="C23" t="s">
        <v>24</v>
      </c>
      <c r="D23" t="s">
        <v>24</v>
      </c>
      <c r="E23" t="s">
        <v>24</v>
      </c>
      <c r="F23" t="s">
        <v>24</v>
      </c>
      <c r="G23" t="s">
        <v>24</v>
      </c>
      <c r="H23" t="s">
        <v>24</v>
      </c>
      <c r="I23" t="s">
        <v>24</v>
      </c>
    </row>
    <row r="24" spans="1:9" x14ac:dyDescent="0.25">
      <c r="A24" t="s">
        <v>324</v>
      </c>
      <c r="B24" t="s">
        <v>24</v>
      </c>
      <c r="C24" t="s">
        <v>24</v>
      </c>
      <c r="D24" t="s">
        <v>24</v>
      </c>
      <c r="E24" t="s">
        <v>24</v>
      </c>
      <c r="F24" t="s">
        <v>24</v>
      </c>
      <c r="G24" t="s">
        <v>24</v>
      </c>
      <c r="H24" t="s">
        <v>24</v>
      </c>
      <c r="I24" t="s">
        <v>24</v>
      </c>
    </row>
    <row r="25" spans="1:9" x14ac:dyDescent="0.25">
      <c r="A25" t="s">
        <v>325</v>
      </c>
      <c r="B25" t="s">
        <v>24</v>
      </c>
      <c r="C25" t="s">
        <v>24</v>
      </c>
      <c r="D25" t="s">
        <v>24</v>
      </c>
      <c r="E25" t="s">
        <v>24</v>
      </c>
      <c r="F25" t="s">
        <v>24</v>
      </c>
      <c r="G25" t="s">
        <v>24</v>
      </c>
      <c r="H25" t="s">
        <v>24</v>
      </c>
      <c r="I25" t="s">
        <v>24</v>
      </c>
    </row>
    <row r="26" spans="1:9" x14ac:dyDescent="0.25">
      <c r="A26" t="s">
        <v>326</v>
      </c>
      <c r="B26" t="s">
        <v>24</v>
      </c>
      <c r="C26" t="s">
        <v>24</v>
      </c>
      <c r="D26" t="s">
        <v>24</v>
      </c>
      <c r="E26" t="s">
        <v>24</v>
      </c>
      <c r="F26" t="s">
        <v>24</v>
      </c>
      <c r="G26" t="s">
        <v>24</v>
      </c>
      <c r="H26" t="s">
        <v>24</v>
      </c>
      <c r="I26" t="s">
        <v>24</v>
      </c>
    </row>
    <row r="27" spans="1:9" x14ac:dyDescent="0.25">
      <c r="A27" t="s">
        <v>327</v>
      </c>
      <c r="B27" t="s">
        <v>24</v>
      </c>
      <c r="C27" t="s">
        <v>24</v>
      </c>
      <c r="D27" t="s">
        <v>24</v>
      </c>
      <c r="E27" t="s">
        <v>24</v>
      </c>
      <c r="F27" t="s">
        <v>24</v>
      </c>
      <c r="G27" t="s">
        <v>24</v>
      </c>
      <c r="H27" t="s">
        <v>24</v>
      </c>
      <c r="I27" t="s">
        <v>24</v>
      </c>
    </row>
    <row r="28" spans="1:9" x14ac:dyDescent="0.25">
      <c r="A28" t="s">
        <v>328</v>
      </c>
      <c r="B28" s="34">
        <f>'Balance Sheet'!B18/'Balance Sheet'!B18</f>
        <v>1</v>
      </c>
      <c r="C28" s="34">
        <f>'Balance Sheet'!C18/'Balance Sheet'!C18</f>
        <v>1</v>
      </c>
      <c r="D28" s="34">
        <f>'Balance Sheet'!D18/'Balance Sheet'!D18</f>
        <v>1</v>
      </c>
      <c r="E28" t="s">
        <v>24</v>
      </c>
      <c r="F28" t="s">
        <v>24</v>
      </c>
      <c r="G28" t="s">
        <v>24</v>
      </c>
      <c r="H28" t="s">
        <v>24</v>
      </c>
      <c r="I28" t="s">
        <v>24</v>
      </c>
    </row>
    <row r="29" spans="1:9" x14ac:dyDescent="0.25">
      <c r="A29" t="s">
        <v>329</v>
      </c>
      <c r="B29" t="s">
        <v>24</v>
      </c>
      <c r="C29" t="s">
        <v>24</v>
      </c>
      <c r="D29" t="s">
        <v>24</v>
      </c>
      <c r="E29" t="s">
        <v>24</v>
      </c>
      <c r="F29" t="s">
        <v>24</v>
      </c>
      <c r="G29" t="s">
        <v>24</v>
      </c>
      <c r="H29" t="s">
        <v>24</v>
      </c>
      <c r="I29" t="s">
        <v>24</v>
      </c>
    </row>
    <row r="30" spans="1:9" x14ac:dyDescent="0.25">
      <c r="A30" t="s">
        <v>330</v>
      </c>
      <c r="B30" t="s">
        <v>24</v>
      </c>
      <c r="C30" t="s">
        <v>24</v>
      </c>
      <c r="D30" t="s">
        <v>24</v>
      </c>
      <c r="E30" t="s">
        <v>24</v>
      </c>
      <c r="F30" t="s">
        <v>24</v>
      </c>
      <c r="G30" t="s">
        <v>24</v>
      </c>
      <c r="H30" t="s">
        <v>24</v>
      </c>
      <c r="I30" t="s">
        <v>24</v>
      </c>
    </row>
    <row r="31" spans="1:9" x14ac:dyDescent="0.25">
      <c r="A31" t="s">
        <v>331</v>
      </c>
      <c r="B31" t="s">
        <v>24</v>
      </c>
      <c r="C31" t="s">
        <v>24</v>
      </c>
      <c r="D31" t="s">
        <v>24</v>
      </c>
      <c r="E31" t="s">
        <v>24</v>
      </c>
      <c r="F31" t="s">
        <v>24</v>
      </c>
      <c r="G31" t="s">
        <v>24</v>
      </c>
      <c r="H31" t="s">
        <v>24</v>
      </c>
      <c r="I31" t="s">
        <v>24</v>
      </c>
    </row>
    <row r="32" spans="1:9" x14ac:dyDescent="0.25">
      <c r="A32" t="s">
        <v>332</v>
      </c>
      <c r="B32" t="s">
        <v>24</v>
      </c>
      <c r="C32" t="s">
        <v>24</v>
      </c>
      <c r="D32" t="s">
        <v>24</v>
      </c>
      <c r="E32" t="s">
        <v>24</v>
      </c>
      <c r="F32" t="s">
        <v>24</v>
      </c>
      <c r="G32" t="s">
        <v>24</v>
      </c>
      <c r="H32" t="s">
        <v>24</v>
      </c>
      <c r="I32" t="s">
        <v>24</v>
      </c>
    </row>
    <row r="33" spans="1:9" x14ac:dyDescent="0.25">
      <c r="A33" t="s">
        <v>333</v>
      </c>
      <c r="B33" s="34">
        <f>'Balance Sheet'!B36/'Balance Sheet'!B18</f>
        <v>0.11258576292463121</v>
      </c>
      <c r="C33" s="34">
        <f>'Balance Sheet'!C36/'Balance Sheet'!C18</f>
        <v>0.11792690740183298</v>
      </c>
      <c r="D33" s="34">
        <f>'Balance Sheet'!D36/'Balance Sheet'!D18</f>
        <v>0.11848198164937832</v>
      </c>
      <c r="E33" t="s">
        <v>24</v>
      </c>
      <c r="F33" t="s">
        <v>24</v>
      </c>
      <c r="G33" t="s">
        <v>24</v>
      </c>
      <c r="H33" t="s">
        <v>24</v>
      </c>
      <c r="I33" t="s">
        <v>24</v>
      </c>
    </row>
    <row r="35" spans="1:9" x14ac:dyDescent="0.25">
      <c r="A35" s="3" t="s">
        <v>334</v>
      </c>
      <c r="B35" s="4"/>
      <c r="C35" s="4"/>
      <c r="D35" s="4"/>
      <c r="E35" s="4"/>
      <c r="F35" s="4"/>
      <c r="G35" s="4"/>
      <c r="H35" s="4"/>
      <c r="I35" s="4"/>
    </row>
    <row r="36" spans="1:9" x14ac:dyDescent="0.25">
      <c r="A36" s="9"/>
      <c r="B36" s="10" t="s">
        <v>14</v>
      </c>
      <c r="C36" s="10" t="s">
        <v>15</v>
      </c>
      <c r="D36" s="10" t="s">
        <v>16</v>
      </c>
      <c r="E36" s="10" t="s">
        <v>335</v>
      </c>
      <c r="F36" s="10" t="s">
        <v>336</v>
      </c>
      <c r="G36" s="10" t="s">
        <v>337</v>
      </c>
      <c r="H36" s="10" t="s">
        <v>338</v>
      </c>
      <c r="I36" s="10" t="s">
        <v>339</v>
      </c>
    </row>
    <row r="37" spans="1:9" x14ac:dyDescent="0.25">
      <c r="A37" t="s">
        <v>31</v>
      </c>
      <c r="B37" t="s">
        <v>24</v>
      </c>
      <c r="C37" t="s">
        <v>24</v>
      </c>
      <c r="D37" t="s">
        <v>24</v>
      </c>
      <c r="E37" t="s">
        <v>24</v>
      </c>
      <c r="F37" t="s">
        <v>24</v>
      </c>
      <c r="G37" t="s">
        <v>24</v>
      </c>
      <c r="H37" t="s">
        <v>24</v>
      </c>
      <c r="I37" t="s">
        <v>24</v>
      </c>
    </row>
    <row r="38" spans="1:9" x14ac:dyDescent="0.25">
      <c r="A38" t="s">
        <v>340</v>
      </c>
      <c r="B38" t="s">
        <v>24</v>
      </c>
      <c r="C38" t="s">
        <v>24</v>
      </c>
      <c r="D38" t="s">
        <v>24</v>
      </c>
      <c r="E38" t="s">
        <v>24</v>
      </c>
      <c r="F38" t="s">
        <v>24</v>
      </c>
      <c r="G38" t="s">
        <v>24</v>
      </c>
      <c r="H38" t="s">
        <v>24</v>
      </c>
      <c r="I38" t="s">
        <v>24</v>
      </c>
    </row>
    <row r="39" spans="1:9" x14ac:dyDescent="0.25">
      <c r="A39" t="s">
        <v>341</v>
      </c>
      <c r="B39" t="s">
        <v>24</v>
      </c>
      <c r="C39" t="s">
        <v>24</v>
      </c>
      <c r="D39" t="s">
        <v>24</v>
      </c>
      <c r="E39" t="s">
        <v>24</v>
      </c>
      <c r="F39" t="s">
        <v>24</v>
      </c>
      <c r="G39" t="s">
        <v>24</v>
      </c>
      <c r="H39" t="s">
        <v>24</v>
      </c>
      <c r="I39" t="s">
        <v>24</v>
      </c>
    </row>
    <row r="40" spans="1:9" x14ac:dyDescent="0.25">
      <c r="A40" t="s">
        <v>342</v>
      </c>
      <c r="B40" t="s">
        <v>24</v>
      </c>
      <c r="C40" t="s">
        <v>24</v>
      </c>
      <c r="D40" t="s">
        <v>24</v>
      </c>
      <c r="E40" t="s">
        <v>24</v>
      </c>
      <c r="F40" t="s">
        <v>24</v>
      </c>
      <c r="G40" t="s">
        <v>24</v>
      </c>
      <c r="H40" t="s">
        <v>24</v>
      </c>
      <c r="I40" t="s">
        <v>24</v>
      </c>
    </row>
    <row r="41" spans="1:9" x14ac:dyDescent="0.25">
      <c r="A41" t="s">
        <v>343</v>
      </c>
      <c r="B41" t="s">
        <v>24</v>
      </c>
      <c r="C41" t="s">
        <v>24</v>
      </c>
      <c r="D41" t="s">
        <v>24</v>
      </c>
      <c r="E41" t="s">
        <v>24</v>
      </c>
      <c r="F41" t="s">
        <v>24</v>
      </c>
      <c r="G41" t="s">
        <v>24</v>
      </c>
      <c r="H41" t="s">
        <v>24</v>
      </c>
      <c r="I41" t="s">
        <v>24</v>
      </c>
    </row>
    <row r="42" spans="1:9" x14ac:dyDescent="0.25">
      <c r="A42" t="s">
        <v>344</v>
      </c>
      <c r="B42" t="s">
        <v>24</v>
      </c>
      <c r="C42" t="s">
        <v>24</v>
      </c>
      <c r="D42" t="s">
        <v>24</v>
      </c>
      <c r="E42" t="s">
        <v>24</v>
      </c>
      <c r="F42" t="s">
        <v>24</v>
      </c>
      <c r="G42" t="s">
        <v>24</v>
      </c>
      <c r="H42" t="s">
        <v>24</v>
      </c>
      <c r="I42" t="s">
        <v>24</v>
      </c>
    </row>
    <row r="43" spans="1:9" x14ac:dyDescent="0.25">
      <c r="A43" t="s">
        <v>345</v>
      </c>
      <c r="B43" t="s">
        <v>24</v>
      </c>
      <c r="C43" t="s">
        <v>24</v>
      </c>
      <c r="D43" t="s">
        <v>24</v>
      </c>
      <c r="E43" t="s">
        <v>24</v>
      </c>
      <c r="F43" t="s">
        <v>24</v>
      </c>
      <c r="G43" t="s">
        <v>24</v>
      </c>
      <c r="H43" t="s">
        <v>24</v>
      </c>
      <c r="I43" t="s">
        <v>24</v>
      </c>
    </row>
    <row r="44" spans="1:9" x14ac:dyDescent="0.25">
      <c r="A44" s="5" t="s">
        <v>346</v>
      </c>
      <c r="B44" t="s">
        <v>24</v>
      </c>
      <c r="C44" t="s">
        <v>24</v>
      </c>
      <c r="D44" t="s">
        <v>24</v>
      </c>
      <c r="E44" t="s">
        <v>24</v>
      </c>
      <c r="F44" t="s">
        <v>24</v>
      </c>
      <c r="G44" t="s">
        <v>24</v>
      </c>
      <c r="H44" t="s">
        <v>24</v>
      </c>
      <c r="I44" t="s">
        <v>24</v>
      </c>
    </row>
    <row r="46" spans="1:8" x14ac:dyDescent="0.25">
      <c r="A46" s="3" t="s">
        <v>347</v>
      </c>
      <c r="B46" s="4"/>
      <c r="C46" s="4"/>
      <c r="D46" s="4"/>
      <c r="E46" s="4"/>
      <c r="F46" s="4"/>
      <c r="G46" s="4"/>
      <c r="H46" s="4"/>
    </row>
    <row r="47" spans="1:3" x14ac:dyDescent="0.25">
      <c r="A47" s="5" t="s">
        <v>348</v>
      </c>
      <c r="B47" t="s">
        <v>24</v>
      </c>
      <c r="C47" s="2" t="s">
        <v>349</v>
      </c>
    </row>
    <row r="48" spans="1:3" x14ac:dyDescent="0.25">
      <c r="A48" s="5" t="s">
        <v>350</v>
      </c>
      <c r="B48" t="s">
        <v>24</v>
      </c>
      <c r="C48" s="2" t="s">
        <v>24</v>
      </c>
    </row>
    <row r="49" spans="1:3" x14ac:dyDescent="0.25">
      <c r="A49" s="5" t="s">
        <v>351</v>
      </c>
      <c r="B49" t="s">
        <v>24</v>
      </c>
      <c r="C49" s="2" t="s">
        <v>352</v>
      </c>
    </row>
    <row r="50" spans="1:1" x14ac:dyDescent="0.25">
      <c r="A50" s="2" t="s">
        <v>353</v>
      </c>
    </row>
    <row r="52" spans="1:8" x14ac:dyDescent="0.25">
      <c r="A52" s="3" t="s">
        <v>354</v>
      </c>
      <c r="B52" s="4"/>
      <c r="C52" s="4"/>
      <c r="D52" s="4"/>
      <c r="E52" s="4"/>
      <c r="F52" s="4"/>
      <c r="G52" s="4"/>
      <c r="H52" s="4"/>
    </row>
    <row r="53" spans="1:5" x14ac:dyDescent="0.25">
      <c r="A53" s="9" t="s">
        <v>355</v>
      </c>
      <c r="B53" s="10" t="s">
        <v>356</v>
      </c>
      <c r="C53" s="10" t="s">
        <v>357</v>
      </c>
      <c r="D53" s="10" t="s">
        <v>358</v>
      </c>
      <c r="E53" s="10" t="s">
        <v>359</v>
      </c>
    </row>
    <row r="54" spans="1:5" x14ac:dyDescent="0.25">
      <c r="A54" t="s">
        <v>360</v>
      </c>
      <c r="B54" t="s">
        <v>24</v>
      </c>
      <c r="C54" s="5" t="s">
        <v>361</v>
      </c>
      <c r="D54" t="s">
        <v>362</v>
      </c>
      <c r="E54" t="s">
        <v>363</v>
      </c>
    </row>
    <row r="55" spans="1:5" x14ac:dyDescent="0.25">
      <c r="A55" t="s">
        <v>364</v>
      </c>
      <c r="B55" t="s">
        <v>24</v>
      </c>
      <c r="C55" s="5" t="s">
        <v>361</v>
      </c>
      <c r="D55" t="s">
        <v>365</v>
      </c>
      <c r="E55" t="s">
        <v>363</v>
      </c>
    </row>
    <row r="56" spans="1:5" x14ac:dyDescent="0.25">
      <c r="A56" t="s">
        <v>366</v>
      </c>
      <c r="B56" t="s">
        <v>24</v>
      </c>
      <c r="C56" s="5" t="s">
        <v>361</v>
      </c>
      <c r="D56" t="s">
        <v>367</v>
      </c>
      <c r="E56" t="s">
        <v>363</v>
      </c>
    </row>
    <row r="57" spans="1:5" x14ac:dyDescent="0.25">
      <c r="A57" t="s">
        <v>368</v>
      </c>
      <c r="B57" t="s">
        <v>24</v>
      </c>
      <c r="C57" s="5" t="s">
        <v>361</v>
      </c>
      <c r="D57" t="s">
        <v>369</v>
      </c>
      <c r="E57" t="s">
        <v>363</v>
      </c>
    </row>
    <row r="58" spans="1:5" x14ac:dyDescent="0.25">
      <c r="A58" t="s">
        <v>370</v>
      </c>
      <c r="B58" t="s">
        <v>24</v>
      </c>
      <c r="C58" s="5" t="s">
        <v>361</v>
      </c>
      <c r="D58" t="s">
        <v>371</v>
      </c>
      <c r="E58" t="s">
        <v>363</v>
      </c>
    </row>
    <row r="59" spans="1:5" x14ac:dyDescent="0.25">
      <c r="A59" t="s">
        <v>372</v>
      </c>
      <c r="B59" t="s">
        <v>24</v>
      </c>
      <c r="C59" s="5" t="s">
        <v>373</v>
      </c>
      <c r="D59" t="s">
        <v>374</v>
      </c>
      <c r="E59" t="s">
        <v>375</v>
      </c>
    </row>
    <row r="60" spans="1:5" x14ac:dyDescent="0.25">
      <c r="A60" t="s">
        <v>376</v>
      </c>
      <c r="B60" t="s">
        <v>24</v>
      </c>
      <c r="C60" s="5" t="s">
        <v>373</v>
      </c>
      <c r="D60" t="s">
        <v>377</v>
      </c>
      <c r="E60" t="s">
        <v>378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0" width="14" customWidth="1"/>
  </cols>
  <sheetData>
    <row r="1" spans="1:1" x14ac:dyDescent="0.25">
      <c r="A1" s="1" t="s">
        <v>379</v>
      </c>
    </row>
    <row r="2" spans="1:1" x14ac:dyDescent="0.25">
      <c r="A2" s="2" t="s">
        <v>380</v>
      </c>
    </row>
    <row r="4" spans="1:9" x14ac:dyDescent="0.25">
      <c r="A4" s="3" t="s">
        <v>381</v>
      </c>
      <c r="B4" s="4"/>
      <c r="C4" s="4"/>
      <c r="D4" s="4"/>
      <c r="E4" s="4"/>
      <c r="F4" s="4"/>
      <c r="G4" s="4"/>
      <c r="H4" s="4"/>
      <c r="I4" s="4"/>
    </row>
    <row r="5" spans="1:9" x14ac:dyDescent="0.25">
      <c r="A5" s="9"/>
      <c r="B5" s="10" t="s">
        <v>14</v>
      </c>
      <c r="C5" s="10" t="s">
        <v>15</v>
      </c>
      <c r="D5" s="10" t="s">
        <v>16</v>
      </c>
      <c r="E5" s="10" t="s">
        <v>17</v>
      </c>
      <c r="F5" s="10" t="s">
        <v>18</v>
      </c>
      <c r="G5" s="10" t="s">
        <v>19</v>
      </c>
      <c r="H5" s="10" t="s">
        <v>20</v>
      </c>
      <c r="I5" s="10" t="s">
        <v>21</v>
      </c>
    </row>
    <row r="6" spans="1:9" x14ac:dyDescent="0.25">
      <c r="A6" t="s">
        <v>382</v>
      </c>
      <c r="B6" t="s">
        <v>24</v>
      </c>
      <c r="C6" t="s">
        <v>24</v>
      </c>
      <c r="D6" t="s">
        <v>24</v>
      </c>
      <c r="E6" t="s">
        <v>24</v>
      </c>
      <c r="F6" t="s">
        <v>24</v>
      </c>
      <c r="G6" t="s">
        <v>24</v>
      </c>
      <c r="H6" t="s">
        <v>24</v>
      </c>
      <c r="I6" t="s">
        <v>24</v>
      </c>
    </row>
    <row r="7" spans="1:9" x14ac:dyDescent="0.25">
      <c r="A7" t="s">
        <v>383</v>
      </c>
      <c r="B7" t="s">
        <v>24</v>
      </c>
      <c r="C7" t="s">
        <v>24</v>
      </c>
      <c r="D7" t="s">
        <v>24</v>
      </c>
      <c r="E7" t="s">
        <v>24</v>
      </c>
      <c r="F7" t="s">
        <v>24</v>
      </c>
      <c r="G7" t="s">
        <v>24</v>
      </c>
      <c r="H7" t="s">
        <v>24</v>
      </c>
      <c r="I7" t="s">
        <v>24</v>
      </c>
    </row>
    <row r="8" spans="1:9" x14ac:dyDescent="0.25">
      <c r="A8" t="s">
        <v>314</v>
      </c>
      <c r="B8" t="s">
        <v>24</v>
      </c>
      <c r="C8" t="s">
        <v>24</v>
      </c>
      <c r="D8" t="s">
        <v>24</v>
      </c>
      <c r="E8" t="s">
        <v>24</v>
      </c>
      <c r="F8" t="s">
        <v>24</v>
      </c>
      <c r="G8" t="s">
        <v>24</v>
      </c>
      <c r="H8" t="s">
        <v>24</v>
      </c>
      <c r="I8" t="s">
        <v>24</v>
      </c>
    </row>
    <row r="9" spans="1:9" x14ac:dyDescent="0.25">
      <c r="A9" t="s">
        <v>384</v>
      </c>
      <c r="B9" t="s">
        <v>24</v>
      </c>
      <c r="C9" t="s">
        <v>24</v>
      </c>
      <c r="D9" t="s">
        <v>24</v>
      </c>
      <c r="E9" t="s">
        <v>24</v>
      </c>
      <c r="F9" t="s">
        <v>24</v>
      </c>
      <c r="G9" t="s">
        <v>24</v>
      </c>
      <c r="H9" t="s">
        <v>24</v>
      </c>
      <c r="I9" t="s">
        <v>24</v>
      </c>
    </row>
    <row r="10" spans="1:9" x14ac:dyDescent="0.25">
      <c r="A10" t="s">
        <v>385</v>
      </c>
      <c r="B10" t="s">
        <v>24</v>
      </c>
      <c r="C10" t="s">
        <v>24</v>
      </c>
      <c r="D10" t="s">
        <v>24</v>
      </c>
      <c r="E10" t="s">
        <v>24</v>
      </c>
      <c r="F10" t="s">
        <v>24</v>
      </c>
      <c r="G10" t="s">
        <v>24</v>
      </c>
      <c r="H10" t="s">
        <v>24</v>
      </c>
      <c r="I10" t="s">
        <v>24</v>
      </c>
    </row>
    <row r="11" spans="1:9" x14ac:dyDescent="0.25">
      <c r="A11" t="s">
        <v>386</v>
      </c>
      <c r="B11" t="s">
        <v>24</v>
      </c>
      <c r="C11" t="s">
        <v>24</v>
      </c>
      <c r="D11" t="s">
        <v>24</v>
      </c>
      <c r="E11" t="s">
        <v>24</v>
      </c>
      <c r="F11" t="s">
        <v>24</v>
      </c>
      <c r="G11" t="s">
        <v>24</v>
      </c>
      <c r="H11" t="s">
        <v>24</v>
      </c>
      <c r="I11" t="s">
        <v>24</v>
      </c>
    </row>
    <row r="13" spans="1:9" x14ac:dyDescent="0.25">
      <c r="A13" s="3" t="s">
        <v>387</v>
      </c>
      <c r="B13" s="4"/>
      <c r="C13" s="4"/>
      <c r="D13" s="4"/>
      <c r="E13" s="4"/>
      <c r="F13" s="4"/>
      <c r="G13" s="4"/>
      <c r="H13" s="4"/>
      <c r="I13" s="4"/>
    </row>
    <row r="14" spans="1:9" x14ac:dyDescent="0.25">
      <c r="A14" s="9"/>
      <c r="B14" s="10" t="s">
        <v>14</v>
      </c>
      <c r="C14" s="10" t="s">
        <v>15</v>
      </c>
      <c r="D14" s="10" t="s">
        <v>16</v>
      </c>
      <c r="E14" s="10" t="s">
        <v>17</v>
      </c>
      <c r="F14" s="10" t="s">
        <v>18</v>
      </c>
      <c r="G14" s="10" t="s">
        <v>19</v>
      </c>
      <c r="H14" s="10" t="s">
        <v>20</v>
      </c>
      <c r="I14" s="10" t="s">
        <v>21</v>
      </c>
    </row>
    <row r="15" spans="1:9" x14ac:dyDescent="0.25">
      <c r="A15" t="s">
        <v>322</v>
      </c>
      <c r="B15" t="s">
        <v>24</v>
      </c>
      <c r="C15" t="s">
        <v>24</v>
      </c>
      <c r="D15" t="s">
        <v>24</v>
      </c>
      <c r="E15" t="s">
        <v>24</v>
      </c>
      <c r="F15" t="s">
        <v>24</v>
      </c>
      <c r="G15" t="s">
        <v>24</v>
      </c>
      <c r="H15" t="s">
        <v>24</v>
      </c>
      <c r="I15" t="s">
        <v>24</v>
      </c>
    </row>
    <row r="16" spans="1:9" x14ac:dyDescent="0.25">
      <c r="A16" t="s">
        <v>323</v>
      </c>
      <c r="B16" t="s">
        <v>24</v>
      </c>
      <c r="C16" t="s">
        <v>24</v>
      </c>
      <c r="D16" t="s">
        <v>24</v>
      </c>
      <c r="E16" t="s">
        <v>24</v>
      </c>
      <c r="F16" t="s">
        <v>24</v>
      </c>
      <c r="G16" t="s">
        <v>24</v>
      </c>
      <c r="H16" t="s">
        <v>24</v>
      </c>
      <c r="I16" t="s">
        <v>24</v>
      </c>
    </row>
    <row r="17" spans="1:9" x14ac:dyDescent="0.25">
      <c r="A17" t="s">
        <v>329</v>
      </c>
      <c r="B17" t="s">
        <v>24</v>
      </c>
      <c r="C17" t="s">
        <v>24</v>
      </c>
      <c r="D17" t="s">
        <v>24</v>
      </c>
      <c r="E17" t="s">
        <v>24</v>
      </c>
      <c r="F17" t="s">
        <v>24</v>
      </c>
      <c r="G17" t="s">
        <v>24</v>
      </c>
      <c r="H17" t="s">
        <v>24</v>
      </c>
      <c r="I17" t="s">
        <v>24</v>
      </c>
    </row>
    <row r="18" spans="1:9" x14ac:dyDescent="0.25">
      <c r="A18" s="5" t="s">
        <v>388</v>
      </c>
      <c r="B18" t="s">
        <v>24</v>
      </c>
      <c r="C18" t="s">
        <v>24</v>
      </c>
      <c r="D18" t="s">
        <v>24</v>
      </c>
      <c r="E18" t="s">
        <v>24</v>
      </c>
      <c r="F18" t="s">
        <v>24</v>
      </c>
      <c r="G18" t="s">
        <v>24</v>
      </c>
      <c r="H18" t="s">
        <v>24</v>
      </c>
      <c r="I18" t="s">
        <v>24</v>
      </c>
    </row>
    <row r="19" spans="1:9" x14ac:dyDescent="0.25">
      <c r="A19" t="s">
        <v>389</v>
      </c>
      <c r="B19" t="s">
        <v>24</v>
      </c>
      <c r="C19" t="s">
        <v>24</v>
      </c>
      <c r="D19" t="s">
        <v>24</v>
      </c>
      <c r="E19" t="s">
        <v>24</v>
      </c>
      <c r="F19" t="s">
        <v>24</v>
      </c>
      <c r="G19" t="s">
        <v>24</v>
      </c>
      <c r="H19" t="s">
        <v>24</v>
      </c>
      <c r="I19" t="s">
        <v>24</v>
      </c>
    </row>
    <row r="20" spans="1:9" x14ac:dyDescent="0.25">
      <c r="A20" t="s">
        <v>390</v>
      </c>
      <c r="B20" t="s">
        <v>24</v>
      </c>
      <c r="C20" t="s">
        <v>24</v>
      </c>
      <c r="D20" t="s">
        <v>24</v>
      </c>
      <c r="E20" t="s">
        <v>24</v>
      </c>
      <c r="F20" t="s">
        <v>24</v>
      </c>
      <c r="G20" t="s">
        <v>24</v>
      </c>
      <c r="H20" t="s">
        <v>24</v>
      </c>
      <c r="I20" t="s">
        <v>24</v>
      </c>
    </row>
    <row r="21" spans="1:9" x14ac:dyDescent="0.25">
      <c r="A21" t="s">
        <v>391</v>
      </c>
      <c r="B21" t="s">
        <v>24</v>
      </c>
      <c r="C21" t="s">
        <v>24</v>
      </c>
      <c r="D21" t="s">
        <v>24</v>
      </c>
      <c r="E21" t="s">
        <v>24</v>
      </c>
      <c r="F21" t="s">
        <v>24</v>
      </c>
      <c r="G21" t="s">
        <v>24</v>
      </c>
      <c r="H21" t="s">
        <v>24</v>
      </c>
      <c r="I21" t="s">
        <v>24</v>
      </c>
    </row>
    <row r="22" spans="1:1" x14ac:dyDescent="0.25">
      <c r="A22" s="2" t="s">
        <v>392</v>
      </c>
    </row>
    <row r="24" spans="1:9" x14ac:dyDescent="0.25">
      <c r="A24" s="3" t="s">
        <v>393</v>
      </c>
      <c r="B24" s="4"/>
      <c r="C24" s="4"/>
      <c r="D24" s="4"/>
      <c r="E24" s="4"/>
      <c r="F24" s="4"/>
      <c r="G24" s="4"/>
      <c r="H24" s="4"/>
      <c r="I24" s="4"/>
    </row>
    <row r="25" spans="1:9" x14ac:dyDescent="0.25">
      <c r="A25" s="9"/>
      <c r="B25" s="10" t="s">
        <v>14</v>
      </c>
      <c r="C25" s="10" t="s">
        <v>15</v>
      </c>
      <c r="D25" s="10" t="s">
        <v>16</v>
      </c>
      <c r="E25" s="10" t="s">
        <v>17</v>
      </c>
      <c r="F25" s="10" t="s">
        <v>18</v>
      </c>
      <c r="G25" s="10" t="s">
        <v>19</v>
      </c>
      <c r="H25" s="10" t="s">
        <v>20</v>
      </c>
      <c r="I25" s="10" t="s">
        <v>21</v>
      </c>
    </row>
    <row r="26" spans="1:9" x14ac:dyDescent="0.25">
      <c r="A26" t="s">
        <v>394</v>
      </c>
      <c r="B26" t="s">
        <v>24</v>
      </c>
      <c r="C26" t="s">
        <v>24</v>
      </c>
      <c r="D26" t="s">
        <v>24</v>
      </c>
      <c r="E26" t="s">
        <v>24</v>
      </c>
      <c r="F26" t="s">
        <v>24</v>
      </c>
      <c r="G26" t="s">
        <v>24</v>
      </c>
      <c r="H26" t="s">
        <v>24</v>
      </c>
      <c r="I26" t="s">
        <v>24</v>
      </c>
    </row>
    <row r="27" spans="1:9" x14ac:dyDescent="0.25">
      <c r="A27" s="5" t="s">
        <v>395</v>
      </c>
      <c r="B27" t="s">
        <v>24</v>
      </c>
      <c r="C27" t="s">
        <v>24</v>
      </c>
      <c r="D27" t="s">
        <v>24</v>
      </c>
      <c r="E27" t="s">
        <v>24</v>
      </c>
      <c r="F27" t="s">
        <v>24</v>
      </c>
      <c r="G27" t="s">
        <v>24</v>
      </c>
      <c r="H27" t="s">
        <v>24</v>
      </c>
      <c r="I27" t="s">
        <v>24</v>
      </c>
    </row>
    <row r="28" spans="1:9" x14ac:dyDescent="0.25">
      <c r="A28" t="s">
        <v>396</v>
      </c>
      <c r="B28" s="35">
        <f>ABS('Cash Flow'!B21)</f>
        <v>8404.4</v>
      </c>
      <c r="C28" s="35">
        <f>ABS('Cash Flow'!C21)</f>
        <v>14826.2</v>
      </c>
      <c r="D28" s="35">
        <f>ABS('Cash Flow'!D21)</f>
        <v>20706</v>
      </c>
      <c r="E28" t="s">
        <v>24</v>
      </c>
      <c r="F28" t="s">
        <v>24</v>
      </c>
      <c r="G28" t="s">
        <v>24</v>
      </c>
      <c r="H28" t="s">
        <v>24</v>
      </c>
      <c r="I28" t="s">
        <v>24</v>
      </c>
    </row>
    <row r="29" spans="1:9" x14ac:dyDescent="0.25">
      <c r="A29" t="s">
        <v>397</v>
      </c>
      <c r="B29" s="34">
        <f>B28/'Income Statement'!B20</f>
        <v>0.1311916580812338</v>
      </c>
      <c r="C29" s="34">
        <f>C28/'Income Statement'!C20</f>
        <v>0.21757065521254162</v>
      </c>
      <c r="D29" s="34">
        <f>D28/'Income Statement'!D20</f>
        <v>0.27235419461763083</v>
      </c>
      <c r="E29" t="s">
        <v>24</v>
      </c>
      <c r="F29" t="s">
        <v>24</v>
      </c>
      <c r="G29" t="s">
        <v>24</v>
      </c>
      <c r="H29" t="s">
        <v>24</v>
      </c>
      <c r="I29" t="s">
        <v>24</v>
      </c>
    </row>
    <row r="30" spans="1:9" x14ac:dyDescent="0.25">
      <c r="A30" t="s">
        <v>398</v>
      </c>
      <c r="B30" t="s">
        <v>24</v>
      </c>
      <c r="C30" t="s">
        <v>24</v>
      </c>
      <c r="D30" t="s">
        <v>24</v>
      </c>
      <c r="E30" t="s">
        <v>24</v>
      </c>
      <c r="F30" t="s">
        <v>24</v>
      </c>
      <c r="G30" t="s">
        <v>24</v>
      </c>
      <c r="H30" t="s">
        <v>24</v>
      </c>
      <c r="I30" t="s">
        <v>24</v>
      </c>
    </row>
    <row r="31" spans="1:9" x14ac:dyDescent="0.25">
      <c r="A31" t="s">
        <v>399</v>
      </c>
      <c r="B31" t="s">
        <v>24</v>
      </c>
      <c r="C31" t="s">
        <v>24</v>
      </c>
      <c r="D31" t="s">
        <v>24</v>
      </c>
      <c r="E31" t="s">
        <v>24</v>
      </c>
      <c r="F31" t="s">
        <v>24</v>
      </c>
      <c r="G31" t="s">
        <v>24</v>
      </c>
      <c r="H31" t="s">
        <v>24</v>
      </c>
      <c r="I31" t="s">
        <v>24</v>
      </c>
    </row>
    <row r="32" spans="1:9" x14ac:dyDescent="0.25">
      <c r="A32" t="s">
        <v>400</v>
      </c>
      <c r="B32" t="s">
        <v>24</v>
      </c>
      <c r="C32" t="s">
        <v>24</v>
      </c>
      <c r="D32" t="s">
        <v>24</v>
      </c>
      <c r="E32" t="s">
        <v>24</v>
      </c>
      <c r="F32" t="s">
        <v>24</v>
      </c>
      <c r="G32" t="s">
        <v>24</v>
      </c>
      <c r="H32" t="s">
        <v>24</v>
      </c>
      <c r="I32" t="s">
        <v>24</v>
      </c>
    </row>
    <row r="33" spans="1:9" x14ac:dyDescent="0.25">
      <c r="A33" t="s">
        <v>401</v>
      </c>
      <c r="B33" t="s">
        <v>24</v>
      </c>
      <c r="C33" t="s">
        <v>24</v>
      </c>
      <c r="D33" t="s">
        <v>24</v>
      </c>
      <c r="E33" t="s">
        <v>24</v>
      </c>
      <c r="F33" t="s">
        <v>24</v>
      </c>
      <c r="G33" t="s">
        <v>24</v>
      </c>
      <c r="H33" t="s">
        <v>24</v>
      </c>
      <c r="I33" t="s">
        <v>24</v>
      </c>
    </row>
    <row r="34" spans="1:9" x14ac:dyDescent="0.25">
      <c r="A34" s="5" t="s">
        <v>402</v>
      </c>
      <c r="B34" t="s">
        <v>24</v>
      </c>
      <c r="C34" t="s">
        <v>24</v>
      </c>
      <c r="D34" t="s">
        <v>24</v>
      </c>
      <c r="E34" t="s">
        <v>24</v>
      </c>
      <c r="F34" t="s">
        <v>24</v>
      </c>
      <c r="G34" t="s">
        <v>24</v>
      </c>
      <c r="H34" t="s">
        <v>24</v>
      </c>
      <c r="I34" t="s">
        <v>24</v>
      </c>
    </row>
    <row r="35" spans="1:9" x14ac:dyDescent="0.25">
      <c r="A35" t="s">
        <v>403</v>
      </c>
      <c r="B35" t="s">
        <v>24</v>
      </c>
      <c r="C35" t="s">
        <v>24</v>
      </c>
      <c r="D35" t="s">
        <v>24</v>
      </c>
      <c r="E35" t="s">
        <v>24</v>
      </c>
      <c r="F35" t="s">
        <v>24</v>
      </c>
      <c r="G35" t="s">
        <v>24</v>
      </c>
      <c r="H35" t="s">
        <v>24</v>
      </c>
      <c r="I35" t="s">
        <v>24</v>
      </c>
    </row>
    <row r="37" spans="1:1" x14ac:dyDescent="0.25">
      <c r="A37" s="2" t="s">
        <v>404</v>
      </c>
    </row>
    <row r="39" spans="1:4" x14ac:dyDescent="0.25">
      <c r="A39" s="3" t="s">
        <v>405</v>
      </c>
      <c r="B39" s="4"/>
      <c r="C39" s="4"/>
      <c r="D39" s="4"/>
    </row>
    <row r="40" spans="1:4" x14ac:dyDescent="0.25">
      <c r="A40" s="9"/>
      <c r="B40" s="10" t="s">
        <v>14</v>
      </c>
      <c r="C40" s="10" t="s">
        <v>15</v>
      </c>
      <c r="D40" s="10" t="s">
        <v>16</v>
      </c>
    </row>
    <row r="41" spans="1:4" x14ac:dyDescent="0.25">
      <c r="A41" t="s">
        <v>406</v>
      </c>
      <c r="B41" s="35">
        <v>283649</v>
      </c>
      <c r="C41" s="35">
        <v>336367.4</v>
      </c>
      <c r="D41" s="35">
        <v>348615.2</v>
      </c>
    </row>
    <row r="42" spans="1:4" x14ac:dyDescent="0.25">
      <c r="A42" t="s">
        <v>407</v>
      </c>
      <c r="B42" s="35">
        <v>154138.6</v>
      </c>
      <c r="C42" s="35">
        <v>183894.2</v>
      </c>
      <c r="D42" s="35">
        <v>185491.2</v>
      </c>
    </row>
    <row r="43" spans="1:4" x14ac:dyDescent="0.25">
      <c r="A43" t="s">
        <v>408</v>
      </c>
      <c r="B43" s="35">
        <v>124345.8</v>
      </c>
      <c r="C43" s="35">
        <v>134548.5</v>
      </c>
      <c r="D43" s="35">
        <v>146847.7</v>
      </c>
    </row>
    <row r="44" spans="1:4" x14ac:dyDescent="0.25">
      <c r="A44" t="s">
        <v>409</v>
      </c>
      <c r="B44" s="35">
        <v>152269.3</v>
      </c>
      <c r="C44" s="35">
        <v>176605.1</v>
      </c>
      <c r="D44" s="35">
        <v>181173.9</v>
      </c>
    </row>
    <row r="45" spans="1:4" x14ac:dyDescent="0.25">
      <c r="A45" t="s">
        <v>410</v>
      </c>
      <c r="B45" s="35">
        <v>25018.3</v>
      </c>
      <c r="C45" s="35">
        <v>14174.6</v>
      </c>
      <c r="D45" s="35">
        <v>26656.2</v>
      </c>
    </row>
    <row r="46" spans="1:4" x14ac:dyDescent="0.25">
      <c r="A46" t="s">
        <v>411</v>
      </c>
      <c r="B46" s="35">
        <v>64062</v>
      </c>
      <c r="C46" s="35">
        <v>68144.3</v>
      </c>
      <c r="D46" s="35">
        <v>76026</v>
      </c>
    </row>
    <row r="47" spans="1:4" x14ac:dyDescent="0.25">
      <c r="A47" t="s">
        <v>412</v>
      </c>
      <c r="B47" s="35">
        <v>2565891.4</v>
      </c>
      <c r="C47" s="35">
        <v>2724938.2</v>
      </c>
      <c r="D47" s="35">
        <v>3050783.2</v>
      </c>
    </row>
    <row r="48" spans="1:4" x14ac:dyDescent="0.25">
      <c r="A48" t="s">
        <v>413</v>
      </c>
      <c r="B48" s="35">
        <v>2376887.3</v>
      </c>
      <c r="C48" s="35">
        <v>2710898.2</v>
      </c>
      <c r="D48" s="35">
        <v>3099638.3</v>
      </c>
    </row>
    <row r="49" spans="1:4" x14ac:dyDescent="0.25">
      <c r="A49" t="s">
        <v>414</v>
      </c>
      <c r="B49" s="35">
        <v>730615.5</v>
      </c>
      <c r="C49" s="35">
        <v>634605.6</v>
      </c>
      <c r="D49" s="35">
        <v>588484.6</v>
      </c>
    </row>
    <row r="50" spans="1:4" x14ac:dyDescent="0.25">
      <c r="A50" t="s">
        <v>328</v>
      </c>
      <c r="B50" s="35">
        <v>4030194.3</v>
      </c>
      <c r="C50" s="35">
        <v>4392417.4</v>
      </c>
      <c r="D50" s="35">
        <v>4908040.8</v>
      </c>
    </row>
    <row r="51" spans="1:4" x14ac:dyDescent="0.25">
      <c r="A51" t="s">
        <v>415</v>
      </c>
      <c r="B51" s="35">
        <v>453742.5</v>
      </c>
      <c r="C51" s="35">
        <v>517984.2</v>
      </c>
      <c r="D51" s="35">
        <v>581514.4</v>
      </c>
    </row>
    <row r="52" spans="1:4" x14ac:dyDescent="0.25">
      <c r="A52" s="5" t="s">
        <v>416</v>
      </c>
      <c r="B52" s="34">
        <f>(B41-B42)/B50</f>
        <v>0.032135026343518974</v>
      </c>
      <c r="C52" s="34">
        <f>(C41-C42)/C50</f>
        <v>0.034712821235978165</v>
      </c>
      <c r="D52" s="34">
        <f>(D41-D42)/D50</f>
        <v>0.03323607252816643</v>
      </c>
    </row>
    <row r="53" spans="1:4" x14ac:dyDescent="0.25">
      <c r="A53" s="5" t="s">
        <v>417</v>
      </c>
      <c r="B53" s="34">
        <f>B44/(B41-B42+B43)</f>
        <v>0.5998250190462159</v>
      </c>
      <c r="C53" s="34">
        <f>C44/(C41-C42+C43)</f>
        <v>0.6153022576341789</v>
      </c>
      <c r="D53" s="34">
        <f>D44/(D41-D42+D43)</f>
        <v>0.5844852933348431</v>
      </c>
    </row>
    <row r="54" spans="1:4" x14ac:dyDescent="0.25">
      <c r="A54" s="5" t="s">
        <v>418</v>
      </c>
      <c r="B54" s="34">
        <f>B45/B47</f>
        <v>0.009750334717985337</v>
      </c>
      <c r="C54" s="34">
        <f>C45/C47</f>
        <v>0.005201806044628828</v>
      </c>
      <c r="D54" s="34">
        <f>D45/D47</f>
        <v>0.008737494031040946</v>
      </c>
    </row>
    <row r="55" spans="1:4" x14ac:dyDescent="0.25">
      <c r="A55" s="5" t="s">
        <v>419</v>
      </c>
      <c r="B55" s="34">
        <f>B47/B48</f>
        <v>1.0795174849055738</v>
      </c>
      <c r="C55" s="34">
        <f>C47/C48</f>
        <v>1.005179095253374</v>
      </c>
      <c r="D55" s="34">
        <f>D47/D48</f>
        <v>0.984238451305754</v>
      </c>
    </row>
    <row r="56" spans="1:4" x14ac:dyDescent="0.25">
      <c r="A56" s="5" t="s">
        <v>420</v>
      </c>
      <c r="B56" s="34">
        <f>B51/B50</f>
        <v>0.11258576292463121</v>
      </c>
      <c r="C56" s="34">
        <f>C51/C50</f>
        <v>0.11792690740183298</v>
      </c>
      <c r="D56" s="34">
        <f>D51/D50</f>
        <v>0.11848198164937832</v>
      </c>
    </row>
    <row r="57" spans="1:4" x14ac:dyDescent="0.25">
      <c r="A57" s="5" t="s">
        <v>421</v>
      </c>
      <c r="B57" s="34">
        <f>B46/B51</f>
        <v>0.14118580472404502</v>
      </c>
      <c r="C57" s="34">
        <f>C46/C51</f>
        <v>0.131556715436494</v>
      </c>
      <c r="D57" s="34">
        <f>D46/D51</f>
        <v>0.1307379490516486</v>
      </c>
    </row>
    <row r="58" spans="1:1" x14ac:dyDescent="0.25">
      <c r="A58" s="2" t="s">
        <v>422</v>
      </c>
    </row>
    <row r="60" spans="1:8" x14ac:dyDescent="0.25">
      <c r="A60" s="3" t="s">
        <v>423</v>
      </c>
      <c r="B60" s="4"/>
      <c r="C60" s="4"/>
      <c r="D60" s="4"/>
      <c r="E60" s="4"/>
      <c r="F60" s="4"/>
      <c r="G60" s="4"/>
      <c r="H60" s="4"/>
    </row>
    <row r="61" spans="1:2" x14ac:dyDescent="0.25">
      <c r="A61" t="s">
        <v>424</v>
      </c>
      <c r="B61" t="s">
        <v>425</v>
      </c>
    </row>
    <row r="62" spans="1:2" x14ac:dyDescent="0.25">
      <c r="A62" t="s">
        <v>426</v>
      </c>
      <c r="B62" t="s">
        <v>427</v>
      </c>
    </row>
    <row r="63" spans="1:2" x14ac:dyDescent="0.25">
      <c r="A63" t="s">
        <v>428</v>
      </c>
      <c r="B63" t="s">
        <v>429</v>
      </c>
    </row>
    <row r="64" spans="1:2" x14ac:dyDescent="0.25">
      <c r="A64" t="s">
        <v>430</v>
      </c>
      <c r="B64" t="s">
        <v>431</v>
      </c>
    </row>
    <row r="65" spans="1:2" x14ac:dyDescent="0.25">
      <c r="A65" t="s">
        <v>432</v>
      </c>
      <c r="B65" t="s">
        <v>433</v>
      </c>
    </row>
    <row r="66" spans="1:2" x14ac:dyDescent="0.25">
      <c r="A66" t="s">
        <v>434</v>
      </c>
      <c r="B66" t="s">
        <v>435</v>
      </c>
    </row>
    <row r="67" spans="1:2" x14ac:dyDescent="0.25">
      <c r="A67" t="s">
        <v>436</v>
      </c>
      <c r="B67" t="s">
        <v>437</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438</v>
      </c>
    </row>
    <row r="2" spans="1:1" x14ac:dyDescent="0.25">
      <c r="A2" s="2" t="s">
        <v>439</v>
      </c>
    </row>
    <row r="4" spans="1:1" x14ac:dyDescent="0.25">
      <c r="A4" s="5" t="s">
        <v>440</v>
      </c>
    </row>
    <row r="6" spans="1:9" x14ac:dyDescent="0.25">
      <c r="A6" s="3" t="s">
        <v>441</v>
      </c>
      <c r="B6" s="4"/>
      <c r="C6" s="4"/>
      <c r="D6" s="4"/>
      <c r="E6" s="4"/>
      <c r="F6" s="4"/>
      <c r="G6" s="4"/>
      <c r="H6" s="4"/>
      <c r="I6" s="4"/>
    </row>
    <row r="7" spans="1:1" x14ac:dyDescent="0.25">
      <c r="A7" s="2" t="s">
        <v>442</v>
      </c>
    </row>
    <row r="8" spans="1:9" x14ac:dyDescent="0.25">
      <c r="A8" s="9" t="s">
        <v>443</v>
      </c>
      <c r="B8" s="10" t="s">
        <v>444</v>
      </c>
      <c r="C8" s="10" t="s">
        <v>445</v>
      </c>
      <c r="D8" s="10" t="s">
        <v>446</v>
      </c>
      <c r="E8" s="10" t="s">
        <v>447</v>
      </c>
      <c r="F8" s="10" t="s">
        <v>448</v>
      </c>
      <c r="G8" s="10" t="s">
        <v>449</v>
      </c>
      <c r="H8" s="10" t="s">
        <v>450</v>
      </c>
      <c r="I8" s="10" t="s">
        <v>451</v>
      </c>
    </row>
    <row r="9" spans="1:9" x14ac:dyDescent="0.25">
      <c r="A9" t="s">
        <v>22</v>
      </c>
      <c r="B9" t="s">
        <v>452</v>
      </c>
      <c r="C9" t="s">
        <v>453</v>
      </c>
      <c r="D9" s="35">
        <v>407994.8</v>
      </c>
      <c r="E9" t="s">
        <v>454</v>
      </c>
      <c r="F9" s="35">
        <v>198693.43</v>
      </c>
      <c r="G9" s="5" t="s">
        <v>455</v>
      </c>
      <c r="H9" s="36">
        <v>0.5130000921580373</v>
      </c>
      <c r="I9" t="s">
        <v>456</v>
      </c>
    </row>
    <row r="10" spans="1:9" x14ac:dyDescent="0.25">
      <c r="A10" t="s">
        <v>314</v>
      </c>
      <c r="B10" t="s">
        <v>452</v>
      </c>
      <c r="C10" t="s">
        <v>453</v>
      </c>
      <c r="D10" t="s">
        <v>24</v>
      </c>
      <c r="E10" t="s">
        <v>454</v>
      </c>
      <c r="F10" s="35">
        <v>5234.83</v>
      </c>
      <c r="G10" t="s">
        <v>457</v>
      </c>
      <c r="H10" t="s">
        <v>24</v>
      </c>
      <c r="I10" t="s">
        <v>458</v>
      </c>
    </row>
    <row r="11" spans="1:9" x14ac:dyDescent="0.25">
      <c r="A11" t="s">
        <v>317</v>
      </c>
      <c r="B11" t="s">
        <v>452</v>
      </c>
      <c r="C11" t="s">
        <v>453</v>
      </c>
      <c r="D11" s="35">
        <v>154138.6</v>
      </c>
      <c r="E11" t="s">
        <v>454</v>
      </c>
      <c r="F11" s="35">
        <v>153392.28</v>
      </c>
      <c r="G11" t="s">
        <v>459</v>
      </c>
      <c r="H11" s="36">
        <v>0.004841876077763824</v>
      </c>
      <c r="I11" t="s">
        <v>460</v>
      </c>
    </row>
    <row r="12" spans="1:9" x14ac:dyDescent="0.25">
      <c r="A12" t="s">
        <v>100</v>
      </c>
      <c r="B12" t="s">
        <v>452</v>
      </c>
      <c r="C12" t="s">
        <v>453</v>
      </c>
      <c r="D12" s="35">
        <v>75184.1</v>
      </c>
      <c r="E12" t="s">
        <v>454</v>
      </c>
      <c r="F12" s="35">
        <v>70545.9</v>
      </c>
      <c r="G12" s="5" t="s">
        <v>455</v>
      </c>
      <c r="H12" s="36">
        <v>0.06169123524787836</v>
      </c>
      <c r="I12" t="s">
        <v>461</v>
      </c>
    </row>
    <row r="13" spans="1:9" x14ac:dyDescent="0.25">
      <c r="A13" t="s">
        <v>462</v>
      </c>
      <c r="B13" t="s">
        <v>452</v>
      </c>
      <c r="C13" t="s">
        <v>453</v>
      </c>
      <c r="D13" s="35">
        <v>11122.1</v>
      </c>
      <c r="E13" t="s">
        <v>454</v>
      </c>
      <c r="F13" s="35">
        <v>7782.71</v>
      </c>
      <c r="G13" s="5" t="s">
        <v>455</v>
      </c>
      <c r="H13" s="36">
        <v>0.3002481545751252</v>
      </c>
      <c r="I13" t="s">
        <v>463</v>
      </c>
    </row>
    <row r="14" spans="1:9" x14ac:dyDescent="0.25">
      <c r="A14" t="s">
        <v>464</v>
      </c>
      <c r="B14" t="s">
        <v>452</v>
      </c>
      <c r="C14" t="s">
        <v>453</v>
      </c>
      <c r="D14" s="35">
        <v>64062</v>
      </c>
      <c r="E14" t="s">
        <v>454</v>
      </c>
      <c r="F14" s="35">
        <v>62265.66</v>
      </c>
      <c r="G14" s="5" t="s">
        <v>455</v>
      </c>
      <c r="H14" s="36">
        <v>0.02804064812213163</v>
      </c>
      <c r="I14" t="s">
        <v>465</v>
      </c>
    </row>
    <row r="15" spans="1:9" x14ac:dyDescent="0.25">
      <c r="A15" t="s">
        <v>466</v>
      </c>
      <c r="B15" t="s">
        <v>452</v>
      </c>
      <c r="C15" t="s">
        <v>453</v>
      </c>
      <c r="D15" t="s">
        <v>24</v>
      </c>
      <c r="E15" t="s">
        <v>454</v>
      </c>
      <c r="F15" s="35">
        <v>62265.66</v>
      </c>
      <c r="G15" t="s">
        <v>457</v>
      </c>
      <c r="H15" t="s">
        <v>24</v>
      </c>
      <c r="I15" t="s">
        <v>458</v>
      </c>
    </row>
    <row r="16" spans="1:9" x14ac:dyDescent="0.25">
      <c r="A16" t="s">
        <v>467</v>
      </c>
      <c r="B16" t="s">
        <v>452</v>
      </c>
      <c r="C16" t="s">
        <v>453</v>
      </c>
      <c r="D16" t="s">
        <v>24</v>
      </c>
      <c r="E16" t="s">
        <v>454</v>
      </c>
      <c r="F16" s="35">
        <v>44.16</v>
      </c>
      <c r="G16" t="s">
        <v>457</v>
      </c>
      <c r="H16" t="s">
        <v>24</v>
      </c>
      <c r="I16" t="s">
        <v>458</v>
      </c>
    </row>
    <row r="17" spans="1:9" x14ac:dyDescent="0.25">
      <c r="A17" t="s">
        <v>328</v>
      </c>
      <c r="B17" t="s">
        <v>452</v>
      </c>
      <c r="C17" t="s">
        <v>453</v>
      </c>
      <c r="D17" s="35">
        <v>4030194.3</v>
      </c>
      <c r="E17" t="s">
        <v>454</v>
      </c>
      <c r="F17" s="35">
        <v>4411857.3</v>
      </c>
      <c r="G17" s="5" t="s">
        <v>455</v>
      </c>
      <c r="H17" s="36">
        <v>0.09470089320507451</v>
      </c>
      <c r="I17" t="s">
        <v>468</v>
      </c>
    </row>
    <row r="18" spans="1:9" x14ac:dyDescent="0.25">
      <c r="A18" t="s">
        <v>469</v>
      </c>
      <c r="B18" t="s">
        <v>452</v>
      </c>
      <c r="C18" t="s">
        <v>453</v>
      </c>
      <c r="D18" t="s">
        <v>24</v>
      </c>
      <c r="E18" t="s">
        <v>454</v>
      </c>
      <c r="F18" s="35">
        <v>788618.28</v>
      </c>
      <c r="G18" t="s">
        <v>457</v>
      </c>
      <c r="H18" t="s">
        <v>24</v>
      </c>
      <c r="I18" t="s">
        <v>458</v>
      </c>
    </row>
    <row r="19" spans="1:9" x14ac:dyDescent="0.25">
      <c r="A19" t="s">
        <v>470</v>
      </c>
      <c r="B19" t="s">
        <v>452</v>
      </c>
      <c r="C19" t="s">
        <v>453</v>
      </c>
      <c r="D19" s="35">
        <v>453742.5</v>
      </c>
      <c r="E19" t="s">
        <v>454</v>
      </c>
      <c r="F19" s="35">
        <v>694732.74</v>
      </c>
      <c r="G19" s="5" t="s">
        <v>455</v>
      </c>
      <c r="H19" s="36">
        <v>0.5311167457313344</v>
      </c>
      <c r="I19" t="s">
        <v>471</v>
      </c>
    </row>
    <row r="20" spans="1:9" x14ac:dyDescent="0.25">
      <c r="A20" t="s">
        <v>472</v>
      </c>
      <c r="B20" t="s">
        <v>452</v>
      </c>
      <c r="C20" t="s">
        <v>453</v>
      </c>
      <c r="D20" t="s">
        <v>24</v>
      </c>
      <c r="E20" t="s">
        <v>454</v>
      </c>
      <c r="F20" s="35">
        <v>759.69</v>
      </c>
      <c r="G20" t="s">
        <v>457</v>
      </c>
      <c r="H20" t="s">
        <v>24</v>
      </c>
      <c r="I20" t="s">
        <v>458</v>
      </c>
    </row>
    <row r="21" spans="1:9" x14ac:dyDescent="0.25">
      <c r="A21" t="s">
        <v>473</v>
      </c>
      <c r="B21" t="s">
        <v>452</v>
      </c>
      <c r="C21" t="s">
        <v>453</v>
      </c>
      <c r="D21" t="s">
        <v>24</v>
      </c>
      <c r="E21" t="s">
        <v>454</v>
      </c>
      <c r="F21" s="35">
        <v>664877.2</v>
      </c>
      <c r="G21" t="s">
        <v>457</v>
      </c>
      <c r="H21" t="s">
        <v>24</v>
      </c>
      <c r="I21" t="s">
        <v>458</v>
      </c>
    </row>
    <row r="22" spans="1:9" x14ac:dyDescent="0.25">
      <c r="A22" t="s">
        <v>474</v>
      </c>
      <c r="B22" t="s">
        <v>452</v>
      </c>
      <c r="C22" t="s">
        <v>453</v>
      </c>
      <c r="D22" t="s">
        <v>24</v>
      </c>
      <c r="E22" t="s">
        <v>454</v>
      </c>
      <c r="F22" s="35">
        <v>131373.71</v>
      </c>
      <c r="G22" t="s">
        <v>457</v>
      </c>
      <c r="H22" t="s">
        <v>24</v>
      </c>
      <c r="I22" t="s">
        <v>458</v>
      </c>
    </row>
    <row r="23" spans="1:9" x14ac:dyDescent="0.25">
      <c r="A23" t="s">
        <v>475</v>
      </c>
      <c r="B23" t="s">
        <v>452</v>
      </c>
      <c r="C23" t="s">
        <v>453</v>
      </c>
      <c r="D23" t="s">
        <v>24</v>
      </c>
      <c r="E23" t="s">
        <v>454</v>
      </c>
      <c r="F23" s="35">
        <v>342597.33</v>
      </c>
      <c r="G23" t="s">
        <v>457</v>
      </c>
      <c r="H23" t="s">
        <v>24</v>
      </c>
      <c r="I23" t="s">
        <v>458</v>
      </c>
    </row>
    <row r="24" spans="1:9" x14ac:dyDescent="0.25">
      <c r="A24" t="s">
        <v>476</v>
      </c>
      <c r="B24" t="s">
        <v>452</v>
      </c>
      <c r="C24" t="s">
        <v>453</v>
      </c>
      <c r="D24" t="s">
        <v>24</v>
      </c>
      <c r="E24" t="s">
        <v>454</v>
      </c>
      <c r="F24" s="35">
        <v>102232.24</v>
      </c>
      <c r="G24" t="s">
        <v>457</v>
      </c>
      <c r="H24" t="s">
        <v>24</v>
      </c>
      <c r="I24" t="s">
        <v>458</v>
      </c>
    </row>
    <row r="25" spans="1:9" x14ac:dyDescent="0.25">
      <c r="A25" t="s">
        <v>477</v>
      </c>
      <c r="B25" t="s">
        <v>452</v>
      </c>
      <c r="C25" t="s">
        <v>453</v>
      </c>
      <c r="D25" t="s">
        <v>24</v>
      </c>
      <c r="E25" t="s">
        <v>454</v>
      </c>
      <c r="F25" s="35">
        <v>-367256.42</v>
      </c>
      <c r="G25" t="s">
        <v>457</v>
      </c>
      <c r="H25" t="s">
        <v>24</v>
      </c>
      <c r="I25" t="s">
        <v>458</v>
      </c>
    </row>
    <row r="26" spans="1:9" x14ac:dyDescent="0.25">
      <c r="A26" t="s">
        <v>478</v>
      </c>
      <c r="B26" t="s">
        <v>452</v>
      </c>
      <c r="C26" t="s">
        <v>453</v>
      </c>
      <c r="D26" t="s">
        <v>24</v>
      </c>
      <c r="E26" t="s">
        <v>454</v>
      </c>
      <c r="F26" s="35">
        <v>334733.87</v>
      </c>
      <c r="G26" t="s">
        <v>457</v>
      </c>
      <c r="H26" t="s">
        <v>24</v>
      </c>
      <c r="I26" t="s">
        <v>458</v>
      </c>
    </row>
    <row r="27" spans="1:9" x14ac:dyDescent="0.25">
      <c r="A27" t="s">
        <v>479</v>
      </c>
      <c r="B27" t="s">
        <v>452</v>
      </c>
      <c r="C27" t="s">
        <v>453</v>
      </c>
      <c r="D27" t="s">
        <v>24</v>
      </c>
      <c r="E27" t="s">
        <v>454</v>
      </c>
      <c r="F27" s="35">
        <v>-5383.8</v>
      </c>
      <c r="G27" t="s">
        <v>457</v>
      </c>
      <c r="H27" t="s">
        <v>24</v>
      </c>
      <c r="I27" t="s">
        <v>458</v>
      </c>
    </row>
    <row r="28" spans="1:9" x14ac:dyDescent="0.25">
      <c r="A28" t="s">
        <v>480</v>
      </c>
      <c r="B28" t="s">
        <v>452</v>
      </c>
      <c r="C28" t="s">
        <v>453</v>
      </c>
      <c r="D28" t="s">
        <v>24</v>
      </c>
      <c r="E28" t="s">
        <v>454</v>
      </c>
      <c r="F28" s="35">
        <v>1519.38</v>
      </c>
      <c r="G28" t="s">
        <v>457</v>
      </c>
      <c r="H28" t="s">
        <v>24</v>
      </c>
      <c r="I28" t="s">
        <v>458</v>
      </c>
    </row>
    <row r="29" spans="1:9" x14ac:dyDescent="0.25">
      <c r="A29" t="s">
        <v>22</v>
      </c>
      <c r="B29" t="s">
        <v>481</v>
      </c>
      <c r="C29" t="s">
        <v>453</v>
      </c>
      <c r="D29" s="35">
        <v>470915.9</v>
      </c>
      <c r="E29" t="s">
        <v>454</v>
      </c>
      <c r="F29" s="35">
        <v>237150.82</v>
      </c>
      <c r="G29" s="5" t="s">
        <v>455</v>
      </c>
      <c r="H29" s="36">
        <v>0.496405154296128</v>
      </c>
      <c r="I29" t="s">
        <v>482</v>
      </c>
    </row>
    <row r="30" spans="1:9" x14ac:dyDescent="0.25">
      <c r="A30" t="s">
        <v>314</v>
      </c>
      <c r="B30" t="s">
        <v>481</v>
      </c>
      <c r="C30" t="s">
        <v>453</v>
      </c>
      <c r="D30" t="s">
        <v>24</v>
      </c>
      <c r="E30" t="s">
        <v>454</v>
      </c>
      <c r="F30" s="35">
        <v>6302.13</v>
      </c>
      <c r="G30" t="s">
        <v>457</v>
      </c>
      <c r="H30" t="s">
        <v>24</v>
      </c>
      <c r="I30" t="s">
        <v>458</v>
      </c>
    </row>
    <row r="31" spans="1:9" x14ac:dyDescent="0.25">
      <c r="A31" t="s">
        <v>317</v>
      </c>
      <c r="B31" t="s">
        <v>481</v>
      </c>
      <c r="C31" t="s">
        <v>453</v>
      </c>
      <c r="D31" s="35">
        <v>183894.2</v>
      </c>
      <c r="E31" t="s">
        <v>454</v>
      </c>
      <c r="F31" s="35">
        <v>182347.7</v>
      </c>
      <c r="G31" s="5" t="s">
        <v>455</v>
      </c>
      <c r="H31" s="36">
        <v>0.008409726897313782</v>
      </c>
      <c r="I31" t="s">
        <v>483</v>
      </c>
    </row>
    <row r="32" spans="1:9" x14ac:dyDescent="0.25">
      <c r="A32" t="s">
        <v>100</v>
      </c>
      <c r="B32" t="s">
        <v>481</v>
      </c>
      <c r="C32" t="s">
        <v>453</v>
      </c>
      <c r="D32" s="35">
        <v>93594.1</v>
      </c>
      <c r="E32" t="s">
        <v>454</v>
      </c>
      <c r="F32" s="35">
        <v>86154.62</v>
      </c>
      <c r="G32" s="5" t="s">
        <v>455</v>
      </c>
      <c r="H32" s="36">
        <v>0.07948663430707716</v>
      </c>
      <c r="I32" t="s">
        <v>484</v>
      </c>
    </row>
    <row r="33" spans="1:9" x14ac:dyDescent="0.25">
      <c r="A33" t="s">
        <v>462</v>
      </c>
      <c r="B33" t="s">
        <v>481</v>
      </c>
      <c r="C33" t="s">
        <v>453</v>
      </c>
      <c r="D33" s="35">
        <v>22801.9</v>
      </c>
      <c r="E33" t="s">
        <v>454</v>
      </c>
      <c r="F33" s="35">
        <v>17501.49</v>
      </c>
      <c r="G33" s="5" t="s">
        <v>455</v>
      </c>
      <c r="H33" s="36">
        <v>0.2324547515777194</v>
      </c>
      <c r="I33" t="s">
        <v>485</v>
      </c>
    </row>
    <row r="34" spans="1:9" x14ac:dyDescent="0.25">
      <c r="A34" t="s">
        <v>464</v>
      </c>
      <c r="B34" t="s">
        <v>481</v>
      </c>
      <c r="C34" t="s">
        <v>453</v>
      </c>
      <c r="D34" s="35">
        <v>68144.3</v>
      </c>
      <c r="E34" t="s">
        <v>454</v>
      </c>
      <c r="F34" s="35">
        <v>67350.83</v>
      </c>
      <c r="G34" s="5" t="s">
        <v>455</v>
      </c>
      <c r="H34" s="36">
        <v>0.011643967287065847</v>
      </c>
      <c r="I34" t="s">
        <v>486</v>
      </c>
    </row>
    <row r="35" spans="1:9" x14ac:dyDescent="0.25">
      <c r="A35" t="s">
        <v>466</v>
      </c>
      <c r="B35" t="s">
        <v>481</v>
      </c>
      <c r="C35" t="s">
        <v>453</v>
      </c>
      <c r="D35" t="s">
        <v>24</v>
      </c>
      <c r="E35" t="s">
        <v>454</v>
      </c>
      <c r="F35" s="35">
        <v>67350.83</v>
      </c>
      <c r="G35" t="s">
        <v>457</v>
      </c>
      <c r="H35" t="s">
        <v>24</v>
      </c>
      <c r="I35" t="s">
        <v>458</v>
      </c>
    </row>
    <row r="36" spans="1:9" x14ac:dyDescent="0.25">
      <c r="A36" t="s">
        <v>467</v>
      </c>
      <c r="B36" t="s">
        <v>481</v>
      </c>
      <c r="C36" t="s">
        <v>453</v>
      </c>
      <c r="D36" t="s">
        <v>24</v>
      </c>
      <c r="E36" t="s">
        <v>454</v>
      </c>
      <c r="F36" s="35">
        <v>44.82</v>
      </c>
      <c r="G36" t="s">
        <v>457</v>
      </c>
      <c r="H36" t="s">
        <v>24</v>
      </c>
      <c r="I36" t="s">
        <v>458</v>
      </c>
    </row>
    <row r="37" spans="1:9" x14ac:dyDescent="0.25">
      <c r="A37" t="s">
        <v>328</v>
      </c>
      <c r="B37" t="s">
        <v>481</v>
      </c>
      <c r="C37" t="s">
        <v>453</v>
      </c>
      <c r="D37" s="35">
        <v>4392417.4</v>
      </c>
      <c r="E37" t="s">
        <v>454</v>
      </c>
      <c r="F37" s="35">
        <v>4818767.11</v>
      </c>
      <c r="G37" s="5" t="s">
        <v>455</v>
      </c>
      <c r="H37" s="36">
        <v>0.09706493513116489</v>
      </c>
      <c r="I37" t="s">
        <v>487</v>
      </c>
    </row>
    <row r="38" spans="1:9" x14ac:dyDescent="0.25">
      <c r="A38" t="s">
        <v>469</v>
      </c>
      <c r="B38" t="s">
        <v>481</v>
      </c>
      <c r="C38" t="s">
        <v>453</v>
      </c>
      <c r="D38" t="s">
        <v>24</v>
      </c>
      <c r="E38" t="s">
        <v>454</v>
      </c>
      <c r="F38" s="35">
        <v>862289.1</v>
      </c>
      <c r="G38" t="s">
        <v>457</v>
      </c>
      <c r="H38" t="s">
        <v>24</v>
      </c>
      <c r="I38" t="s">
        <v>458</v>
      </c>
    </row>
    <row r="39" spans="1:9" x14ac:dyDescent="0.25">
      <c r="A39" t="s">
        <v>470</v>
      </c>
      <c r="B39" t="s">
        <v>481</v>
      </c>
      <c r="C39" t="s">
        <v>453</v>
      </c>
      <c r="D39" s="35">
        <v>517984.2</v>
      </c>
      <c r="E39" t="s">
        <v>454</v>
      </c>
      <c r="F39" s="35">
        <v>767689.14</v>
      </c>
      <c r="G39" s="5" t="s">
        <v>455</v>
      </c>
      <c r="H39" s="36">
        <v>0.4820705728089776</v>
      </c>
      <c r="I39" t="s">
        <v>488</v>
      </c>
    </row>
    <row r="40" spans="1:9" x14ac:dyDescent="0.25">
      <c r="A40" t="s">
        <v>472</v>
      </c>
      <c r="B40" t="s">
        <v>481</v>
      </c>
      <c r="C40" t="s">
        <v>453</v>
      </c>
      <c r="D40" t="s">
        <v>24</v>
      </c>
      <c r="E40" t="s">
        <v>454</v>
      </c>
      <c r="F40" s="35">
        <v>1530.44</v>
      </c>
      <c r="G40" t="s">
        <v>457</v>
      </c>
      <c r="H40" t="s">
        <v>24</v>
      </c>
      <c r="I40" t="s">
        <v>458</v>
      </c>
    </row>
    <row r="41" spans="1:9" x14ac:dyDescent="0.25">
      <c r="A41" t="s">
        <v>473</v>
      </c>
      <c r="B41" t="s">
        <v>481</v>
      </c>
      <c r="C41" t="s">
        <v>453</v>
      </c>
      <c r="D41" t="s">
        <v>24</v>
      </c>
      <c r="E41" t="s">
        <v>454</v>
      </c>
      <c r="F41" s="35">
        <v>586616.32</v>
      </c>
      <c r="G41" t="s">
        <v>457</v>
      </c>
      <c r="H41" t="s">
        <v>24</v>
      </c>
      <c r="I41" t="s">
        <v>458</v>
      </c>
    </row>
    <row r="42" spans="1:9" x14ac:dyDescent="0.25">
      <c r="A42" t="s">
        <v>474</v>
      </c>
      <c r="B42" t="s">
        <v>481</v>
      </c>
      <c r="C42" t="s">
        <v>453</v>
      </c>
      <c r="D42" t="s">
        <v>24</v>
      </c>
      <c r="E42" t="s">
        <v>454</v>
      </c>
      <c r="F42" s="35">
        <v>130601.31</v>
      </c>
      <c r="G42" t="s">
        <v>457</v>
      </c>
      <c r="H42" t="s">
        <v>24</v>
      </c>
      <c r="I42" t="s">
        <v>458</v>
      </c>
    </row>
    <row r="43" spans="1:9" x14ac:dyDescent="0.25">
      <c r="A43" t="s">
        <v>475</v>
      </c>
      <c r="B43" t="s">
        <v>481</v>
      </c>
      <c r="C43" t="s">
        <v>453</v>
      </c>
      <c r="D43" t="s">
        <v>24</v>
      </c>
      <c r="E43" t="s">
        <v>454</v>
      </c>
      <c r="F43" s="35">
        <v>322232.31</v>
      </c>
      <c r="G43" t="s">
        <v>457</v>
      </c>
      <c r="H43" t="s">
        <v>24</v>
      </c>
      <c r="I43" t="s">
        <v>458</v>
      </c>
    </row>
    <row r="44" spans="1:9" x14ac:dyDescent="0.25">
      <c r="A44" t="s">
        <v>476</v>
      </c>
      <c r="B44" t="s">
        <v>481</v>
      </c>
      <c r="C44" t="s">
        <v>453</v>
      </c>
      <c r="D44" t="s">
        <v>24</v>
      </c>
      <c r="E44" t="s">
        <v>454</v>
      </c>
      <c r="F44" s="35">
        <v>119561.74</v>
      </c>
      <c r="G44" t="s">
        <v>457</v>
      </c>
      <c r="H44" t="s">
        <v>24</v>
      </c>
      <c r="I44" t="s">
        <v>458</v>
      </c>
    </row>
    <row r="45" spans="1:9" x14ac:dyDescent="0.25">
      <c r="A45" t="s">
        <v>477</v>
      </c>
      <c r="B45" t="s">
        <v>481</v>
      </c>
      <c r="C45" t="s">
        <v>453</v>
      </c>
      <c r="D45" t="s">
        <v>24</v>
      </c>
      <c r="E45" t="s">
        <v>454</v>
      </c>
      <c r="F45" s="35">
        <v>-371605.66</v>
      </c>
      <c r="G45" t="s">
        <v>457</v>
      </c>
      <c r="H45" t="s">
        <v>24</v>
      </c>
      <c r="I45" t="s">
        <v>458</v>
      </c>
    </row>
    <row r="46" spans="1:9" x14ac:dyDescent="0.25">
      <c r="A46" t="s">
        <v>478</v>
      </c>
      <c r="B46" t="s">
        <v>481</v>
      </c>
      <c r="C46" t="s">
        <v>453</v>
      </c>
      <c r="D46" t="s">
        <v>24</v>
      </c>
      <c r="E46" t="s">
        <v>454</v>
      </c>
      <c r="F46" s="35">
        <v>241934.9</v>
      </c>
      <c r="G46" t="s">
        <v>457</v>
      </c>
      <c r="H46" t="s">
        <v>24</v>
      </c>
      <c r="I46" t="s">
        <v>458</v>
      </c>
    </row>
    <row r="47" spans="1:9" x14ac:dyDescent="0.25">
      <c r="A47" t="s">
        <v>479</v>
      </c>
      <c r="B47" t="s">
        <v>481</v>
      </c>
      <c r="C47" t="s">
        <v>453</v>
      </c>
      <c r="D47" t="s">
        <v>24</v>
      </c>
      <c r="E47" t="s">
        <v>454</v>
      </c>
      <c r="F47" s="35">
        <v>-6639.73</v>
      </c>
      <c r="G47" t="s">
        <v>457</v>
      </c>
      <c r="H47" t="s">
        <v>24</v>
      </c>
      <c r="I47" t="s">
        <v>458</v>
      </c>
    </row>
    <row r="48" spans="1:9" x14ac:dyDescent="0.25">
      <c r="A48" t="s">
        <v>480</v>
      </c>
      <c r="B48" t="s">
        <v>481</v>
      </c>
      <c r="C48" t="s">
        <v>453</v>
      </c>
      <c r="D48" t="s">
        <v>24</v>
      </c>
      <c r="E48" t="s">
        <v>454</v>
      </c>
      <c r="F48" s="35">
        <v>1530.441</v>
      </c>
      <c r="G48" t="s">
        <v>457</v>
      </c>
      <c r="H48" t="s">
        <v>24</v>
      </c>
      <c r="I48" t="s">
        <v>458</v>
      </c>
    </row>
    <row r="49" spans="1:9" x14ac:dyDescent="0.25">
      <c r="A49" t="s">
        <v>22</v>
      </c>
      <c r="B49" t="s">
        <v>489</v>
      </c>
      <c r="C49" t="s">
        <v>453</v>
      </c>
      <c r="D49" s="35">
        <v>495462.9</v>
      </c>
      <c r="E49" t="s">
        <v>454</v>
      </c>
      <c r="F49" s="35">
        <v>249561.75</v>
      </c>
      <c r="G49" s="5" t="s">
        <v>455</v>
      </c>
      <c r="H49" s="36">
        <v>0.4963058788054565</v>
      </c>
      <c r="I49" t="s">
        <v>490</v>
      </c>
    </row>
    <row r="50" spans="1:9" x14ac:dyDescent="0.25">
      <c r="A50" t="s">
        <v>314</v>
      </c>
      <c r="B50" t="s">
        <v>489</v>
      </c>
      <c r="C50" t="s">
        <v>453</v>
      </c>
      <c r="D50" t="s">
        <v>24</v>
      </c>
      <c r="E50" t="s">
        <v>454</v>
      </c>
      <c r="F50" s="35">
        <v>6183.23</v>
      </c>
      <c r="G50" t="s">
        <v>457</v>
      </c>
      <c r="H50" t="s">
        <v>24</v>
      </c>
      <c r="I50" t="s">
        <v>458</v>
      </c>
    </row>
    <row r="51" spans="1:9" x14ac:dyDescent="0.25">
      <c r="A51" t="s">
        <v>317</v>
      </c>
      <c r="B51" t="s">
        <v>489</v>
      </c>
      <c r="C51" t="s">
        <v>453</v>
      </c>
      <c r="D51" s="35">
        <v>185491.2</v>
      </c>
      <c r="E51" t="s">
        <v>454</v>
      </c>
      <c r="F51" s="35">
        <v>186049.55</v>
      </c>
      <c r="G51" t="s">
        <v>459</v>
      </c>
      <c r="H51" s="36">
        <v>0.0030101158437703603</v>
      </c>
      <c r="I51" t="s">
        <v>491</v>
      </c>
    </row>
    <row r="52" spans="1:9" x14ac:dyDescent="0.25">
      <c r="A52" t="s">
        <v>100</v>
      </c>
      <c r="B52" t="s">
        <v>489</v>
      </c>
      <c r="C52" t="s">
        <v>453</v>
      </c>
      <c r="D52" s="35">
        <v>98948</v>
      </c>
      <c r="E52" t="s">
        <v>454</v>
      </c>
      <c r="F52" s="35">
        <v>93902.79</v>
      </c>
      <c r="G52" s="5" t="s">
        <v>455</v>
      </c>
      <c r="H52" s="36">
        <v>0.05098849900958086</v>
      </c>
      <c r="I52" t="s">
        <v>492</v>
      </c>
    </row>
    <row r="53" spans="1:9" x14ac:dyDescent="0.25">
      <c r="A53" t="s">
        <v>462</v>
      </c>
      <c r="B53" t="s">
        <v>489</v>
      </c>
      <c r="C53" t="s">
        <v>453</v>
      </c>
      <c r="D53" s="35">
        <v>22922</v>
      </c>
      <c r="E53" t="s">
        <v>454</v>
      </c>
      <c r="F53" s="35">
        <v>21193.15</v>
      </c>
      <c r="G53" s="5" t="s">
        <v>455</v>
      </c>
      <c r="H53" s="36">
        <v>0.07542317424308519</v>
      </c>
      <c r="I53" t="s">
        <v>493</v>
      </c>
    </row>
    <row r="54" spans="1:9" x14ac:dyDescent="0.25">
      <c r="A54" t="s">
        <v>464</v>
      </c>
      <c r="B54" t="s">
        <v>489</v>
      </c>
      <c r="C54" t="s">
        <v>453</v>
      </c>
      <c r="D54" s="35">
        <v>76026</v>
      </c>
      <c r="E54" t="s">
        <v>454</v>
      </c>
      <c r="F54" s="35">
        <v>70479.34</v>
      </c>
      <c r="G54" s="5" t="s">
        <v>455</v>
      </c>
      <c r="H54" s="36">
        <v>0.07295740930734228</v>
      </c>
      <c r="I54" t="s">
        <v>494</v>
      </c>
    </row>
    <row r="55" spans="1:9" x14ac:dyDescent="0.25">
      <c r="A55" t="s">
        <v>466</v>
      </c>
      <c r="B55" t="s">
        <v>489</v>
      </c>
      <c r="C55" t="s">
        <v>453</v>
      </c>
      <c r="D55" t="s">
        <v>24</v>
      </c>
      <c r="E55" t="s">
        <v>454</v>
      </c>
      <c r="F55" s="35">
        <v>70479.34</v>
      </c>
      <c r="G55" t="s">
        <v>457</v>
      </c>
      <c r="H55" t="s">
        <v>24</v>
      </c>
      <c r="I55" t="s">
        <v>458</v>
      </c>
    </row>
    <row r="56" spans="1:9" x14ac:dyDescent="0.25">
      <c r="A56" t="s">
        <v>467</v>
      </c>
      <c r="B56" t="s">
        <v>489</v>
      </c>
      <c r="C56" t="s">
        <v>453</v>
      </c>
      <c r="D56" t="s">
        <v>24</v>
      </c>
      <c r="E56" t="s">
        <v>454</v>
      </c>
      <c r="F56" s="35">
        <v>45.75</v>
      </c>
      <c r="G56" t="s">
        <v>457</v>
      </c>
      <c r="H56" t="s">
        <v>24</v>
      </c>
      <c r="I56" t="s">
        <v>458</v>
      </c>
    </row>
    <row r="57" spans="1:9" x14ac:dyDescent="0.25">
      <c r="A57" t="s">
        <v>328</v>
      </c>
      <c r="B57" t="s">
        <v>489</v>
      </c>
      <c r="C57" t="s">
        <v>453</v>
      </c>
      <c r="D57" s="35">
        <v>4908040.8</v>
      </c>
      <c r="E57" t="s">
        <v>454</v>
      </c>
      <c r="F57" s="35">
        <v>5262119.32</v>
      </c>
      <c r="G57" s="5" t="s">
        <v>455</v>
      </c>
      <c r="H57" s="36">
        <v>0.07214253801639149</v>
      </c>
      <c r="I57" t="s">
        <v>495</v>
      </c>
    </row>
    <row r="58" spans="1:9" x14ac:dyDescent="0.25">
      <c r="A58" t="s">
        <v>469</v>
      </c>
      <c r="B58" t="s">
        <v>489</v>
      </c>
      <c r="C58" t="s">
        <v>453</v>
      </c>
      <c r="D58" t="s">
        <v>24</v>
      </c>
      <c r="E58" t="s">
        <v>454</v>
      </c>
      <c r="F58" s="35">
        <v>916069.47</v>
      </c>
      <c r="G58" t="s">
        <v>457</v>
      </c>
      <c r="H58" t="s">
        <v>24</v>
      </c>
      <c r="I58" t="s">
        <v>458</v>
      </c>
    </row>
    <row r="59" spans="1:9" x14ac:dyDescent="0.25">
      <c r="A59" t="s">
        <v>470</v>
      </c>
      <c r="B59" t="s">
        <v>489</v>
      </c>
      <c r="C59" t="s">
        <v>453</v>
      </c>
      <c r="D59" s="35">
        <v>581514.4</v>
      </c>
      <c r="E59" t="s">
        <v>454</v>
      </c>
      <c r="F59" s="35">
        <v>816739.56</v>
      </c>
      <c r="G59" s="5" t="s">
        <v>455</v>
      </c>
      <c r="H59" s="36">
        <v>0.40450444563367655</v>
      </c>
      <c r="I59" t="s">
        <v>496</v>
      </c>
    </row>
    <row r="60" spans="1:9" x14ac:dyDescent="0.25">
      <c r="A60" t="s">
        <v>472</v>
      </c>
      <c r="B60" t="s">
        <v>489</v>
      </c>
      <c r="C60" t="s">
        <v>453</v>
      </c>
      <c r="D60" t="s">
        <v>24</v>
      </c>
      <c r="E60" t="s">
        <v>454</v>
      </c>
      <c r="F60" s="35">
        <v>1539.34</v>
      </c>
      <c r="G60" t="s">
        <v>457</v>
      </c>
      <c r="H60" t="s">
        <v>24</v>
      </c>
      <c r="I60" t="s">
        <v>458</v>
      </c>
    </row>
    <row r="61" spans="1:9" x14ac:dyDescent="0.25">
      <c r="A61" t="s">
        <v>473</v>
      </c>
      <c r="B61" t="s">
        <v>489</v>
      </c>
      <c r="C61" t="s">
        <v>453</v>
      </c>
      <c r="D61" t="s">
        <v>24</v>
      </c>
      <c r="E61" t="s">
        <v>454</v>
      </c>
      <c r="F61" s="35">
        <v>511943.4</v>
      </c>
      <c r="G61" t="s">
        <v>457</v>
      </c>
      <c r="H61" t="s">
        <v>24</v>
      </c>
      <c r="I61" t="s">
        <v>458</v>
      </c>
    </row>
    <row r="62" spans="1:9" x14ac:dyDescent="0.25">
      <c r="A62" t="s">
        <v>474</v>
      </c>
      <c r="B62" t="s">
        <v>489</v>
      </c>
      <c r="C62" t="s">
        <v>453</v>
      </c>
      <c r="D62" t="s">
        <v>24</v>
      </c>
      <c r="E62" t="s">
        <v>454</v>
      </c>
      <c r="F62" s="35">
        <v>134964.84</v>
      </c>
      <c r="G62" t="s">
        <v>457</v>
      </c>
      <c r="H62" t="s">
        <v>24</v>
      </c>
      <c r="I62" t="s">
        <v>458</v>
      </c>
    </row>
    <row r="63" spans="1:9" x14ac:dyDescent="0.25">
      <c r="A63" t="s">
        <v>475</v>
      </c>
      <c r="B63" t="s">
        <v>489</v>
      </c>
      <c r="C63" t="s">
        <v>453</v>
      </c>
      <c r="D63" t="s">
        <v>24</v>
      </c>
      <c r="E63" t="s">
        <v>454</v>
      </c>
      <c r="F63" s="35">
        <v>365067.39</v>
      </c>
      <c r="G63" t="s">
        <v>457</v>
      </c>
      <c r="H63" t="s">
        <v>24</v>
      </c>
      <c r="I63" t="s">
        <v>458</v>
      </c>
    </row>
    <row r="64" spans="1:9" x14ac:dyDescent="0.25">
      <c r="A64" t="s">
        <v>476</v>
      </c>
      <c r="B64" t="s">
        <v>489</v>
      </c>
      <c r="C64" t="s">
        <v>453</v>
      </c>
      <c r="D64" t="s">
        <v>24</v>
      </c>
      <c r="E64" t="s">
        <v>454</v>
      </c>
      <c r="F64" s="35">
        <v>111855.99</v>
      </c>
      <c r="G64" t="s">
        <v>457</v>
      </c>
      <c r="H64" t="s">
        <v>24</v>
      </c>
      <c r="I64" t="s">
        <v>458</v>
      </c>
    </row>
    <row r="65" spans="1:9" x14ac:dyDescent="0.25">
      <c r="A65" t="s">
        <v>477</v>
      </c>
      <c r="B65" t="s">
        <v>489</v>
      </c>
      <c r="C65" t="s">
        <v>453</v>
      </c>
      <c r="D65" t="s">
        <v>24</v>
      </c>
      <c r="E65" t="s">
        <v>454</v>
      </c>
      <c r="F65" s="35">
        <v>-357717.11</v>
      </c>
      <c r="G65" t="s">
        <v>457</v>
      </c>
      <c r="H65" t="s">
        <v>24</v>
      </c>
      <c r="I65" t="s">
        <v>458</v>
      </c>
    </row>
    <row r="66" spans="1:9" x14ac:dyDescent="0.25">
      <c r="A66" t="s">
        <v>478</v>
      </c>
      <c r="B66" t="s">
        <v>489</v>
      </c>
      <c r="C66" t="s">
        <v>453</v>
      </c>
      <c r="D66" t="s">
        <v>24</v>
      </c>
      <c r="E66" t="s">
        <v>454</v>
      </c>
      <c r="F66" s="35">
        <v>297241.85</v>
      </c>
      <c r="G66" t="s">
        <v>457</v>
      </c>
      <c r="H66" t="s">
        <v>24</v>
      </c>
      <c r="I66" t="s">
        <v>458</v>
      </c>
    </row>
    <row r="67" spans="1:9" x14ac:dyDescent="0.25">
      <c r="A67" t="s">
        <v>479</v>
      </c>
      <c r="B67" t="s">
        <v>489</v>
      </c>
      <c r="C67" t="s">
        <v>453</v>
      </c>
      <c r="D67" t="s">
        <v>24</v>
      </c>
      <c r="E67" t="s">
        <v>454</v>
      </c>
      <c r="F67" s="35">
        <v>-5278.36</v>
      </c>
      <c r="G67" t="s">
        <v>457</v>
      </c>
      <c r="H67" t="s">
        <v>24</v>
      </c>
      <c r="I67" t="s">
        <v>458</v>
      </c>
    </row>
    <row r="68" spans="1:9" x14ac:dyDescent="0.25">
      <c r="A68" t="s">
        <v>480</v>
      </c>
      <c r="B68" t="s">
        <v>489</v>
      </c>
      <c r="C68" t="s">
        <v>453</v>
      </c>
      <c r="D68" t="s">
        <v>24</v>
      </c>
      <c r="E68" t="s">
        <v>454</v>
      </c>
      <c r="F68" s="35">
        <v>1539.326</v>
      </c>
      <c r="G68" t="s">
        <v>457</v>
      </c>
      <c r="H68" t="s">
        <v>24</v>
      </c>
      <c r="I68" t="s">
        <v>458</v>
      </c>
    </row>
    <row r="69" spans="1:1" x14ac:dyDescent="0.25">
      <c r="A69" s="2" t="s">
        <v>497</v>
      </c>
    </row>
    <row r="71" spans="1:8" x14ac:dyDescent="0.25">
      <c r="A71" s="3" t="s">
        <v>498</v>
      </c>
      <c r="B71" s="4"/>
      <c r="C71" s="4"/>
      <c r="D71" s="4"/>
      <c r="E71" s="4"/>
      <c r="F71" s="4"/>
      <c r="G71" s="4"/>
      <c r="H71" s="4"/>
    </row>
    <row r="72" spans="1:8" x14ac:dyDescent="0.25">
      <c r="A72" s="9" t="s">
        <v>444</v>
      </c>
      <c r="B72" s="10" t="s">
        <v>499</v>
      </c>
      <c r="C72" s="10" t="s">
        <v>500</v>
      </c>
      <c r="D72" s="10" t="s">
        <v>501</v>
      </c>
      <c r="E72" s="10" t="s">
        <v>502</v>
      </c>
      <c r="F72" s="10" t="s">
        <v>503</v>
      </c>
      <c r="G72" s="10" t="s">
        <v>504</v>
      </c>
      <c r="H72" s="10" t="s">
        <v>505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506</v>
      </c>
    </row>
    <row r="2" spans="1:1" x14ac:dyDescent="0.25">
      <c r="A2" s="2" t="s">
        <v>507</v>
      </c>
    </row>
    <row r="4" spans="1:9" x14ac:dyDescent="0.25">
      <c r="A4" s="3" t="s">
        <v>508</v>
      </c>
      <c r="B4" s="4"/>
      <c r="C4" s="4"/>
      <c r="D4" s="4"/>
      <c r="E4" s="4"/>
      <c r="F4" s="4"/>
      <c r="G4" s="4"/>
      <c r="H4" s="4"/>
      <c r="I4" s="4"/>
    </row>
    <row r="5" spans="1:9" x14ac:dyDescent="0.25">
      <c r="A5" s="9" t="s">
        <v>509</v>
      </c>
      <c r="B5" s="10" t="s">
        <v>52</v>
      </c>
      <c r="C5" s="10" t="s">
        <v>510</v>
      </c>
      <c r="D5" s="10" t="s">
        <v>58</v>
      </c>
      <c r="E5" s="10" t="s">
        <v>6</v>
      </c>
      <c r="F5" s="10" t="s">
        <v>4</v>
      </c>
      <c r="G5" s="10" t="s">
        <v>511</v>
      </c>
      <c r="H5" s="10" t="s">
        <v>512</v>
      </c>
      <c r="I5" s="10" t="s">
        <v>513</v>
      </c>
    </row>
    <row r="6" spans="1:9" x14ac:dyDescent="0.25">
      <c r="A6" s="5" t="s">
        <v>514</v>
      </c>
      <c r="B6" t="s">
        <v>53</v>
      </c>
      <c r="C6" s="14">
        <v>692.8</v>
      </c>
      <c r="D6" t="s">
        <v>59</v>
      </c>
      <c r="E6" t="s">
        <v>72</v>
      </c>
      <c r="F6" s="14">
        <v>420.32</v>
      </c>
      <c r="G6">
        <v>0</v>
      </c>
      <c r="H6">
        <v>0</v>
      </c>
      <c r="I6" t="s">
        <v>515</v>
      </c>
    </row>
    <row r="7" spans="1:9" x14ac:dyDescent="0.25">
      <c r="A7" t="s">
        <v>516</v>
      </c>
      <c r="B7" t="s">
        <v>517</v>
      </c>
      <c r="C7" s="14">
        <v>692.8</v>
      </c>
      <c r="D7" t="s">
        <v>59</v>
      </c>
      <c r="E7" t="s">
        <v>72</v>
      </c>
      <c r="F7" s="14">
        <v>420.32</v>
      </c>
      <c r="G7" s="14">
        <f>F7-420.32</f>
        <v>0</v>
      </c>
      <c r="H7" s="34">
        <f>G7/420.32</f>
        <v>0</v>
      </c>
      <c r="I7" t="s">
        <v>515</v>
      </c>
    </row>
    <row r="8" spans="1:9" x14ac:dyDescent="0.25">
      <c r="A8" t="s">
        <v>518</v>
      </c>
      <c r="B8" t="s">
        <v>519</v>
      </c>
      <c r="C8" s="14">
        <v>692.8</v>
      </c>
      <c r="D8" t="s">
        <v>59</v>
      </c>
      <c r="E8" t="s">
        <v>72</v>
      </c>
      <c r="F8" s="14">
        <v>420.32</v>
      </c>
      <c r="G8" s="14">
        <f>F8-420.32</f>
        <v>0</v>
      </c>
      <c r="H8" s="34">
        <f>G8/420.32</f>
        <v>0</v>
      </c>
      <c r="I8" t="s">
        <v>515</v>
      </c>
    </row>
    <row r="9" spans="1:9" x14ac:dyDescent="0.25">
      <c r="A9" t="s">
        <v>520</v>
      </c>
      <c r="B9" t="s">
        <v>521</v>
      </c>
      <c r="C9" s="14">
        <v>692.8</v>
      </c>
      <c r="D9" t="s">
        <v>59</v>
      </c>
      <c r="E9" t="s">
        <v>72</v>
      </c>
      <c r="F9" s="14">
        <v>420.32</v>
      </c>
      <c r="G9" s="14">
        <f>F9-420.32</f>
        <v>0</v>
      </c>
      <c r="H9" s="34">
        <f>G9/420.32</f>
        <v>0</v>
      </c>
      <c r="I9" t="s">
        <v>515</v>
      </c>
    </row>
    <row r="10" spans="1:9" x14ac:dyDescent="0.25">
      <c r="A10" t="s">
        <v>522</v>
      </c>
      <c r="B10" t="s">
        <v>523</v>
      </c>
      <c r="C10" s="14">
        <v>692.8</v>
      </c>
      <c r="D10" t="s">
        <v>59</v>
      </c>
      <c r="E10" t="s">
        <v>72</v>
      </c>
      <c r="F10" s="14">
        <v>420.32</v>
      </c>
      <c r="G10" s="14">
        <f>F10-420.32</f>
        <v>0</v>
      </c>
      <c r="H10" s="34">
        <f>G10/420.32</f>
        <v>0</v>
      </c>
      <c r="I10" t="s">
        <v>515</v>
      </c>
    </row>
    <row r="11" spans="1:9" x14ac:dyDescent="0.25">
      <c r="A11" t="s">
        <v>524</v>
      </c>
      <c r="B11" t="s">
        <v>525</v>
      </c>
      <c r="C11" s="14">
        <v>692.8</v>
      </c>
      <c r="D11" t="s">
        <v>59</v>
      </c>
      <c r="E11" t="s">
        <v>72</v>
      </c>
      <c r="F11" s="14">
        <v>420.32</v>
      </c>
      <c r="G11" s="14">
        <f>F11-420.32</f>
        <v>0</v>
      </c>
      <c r="H11" s="34">
        <f>G11/420.32</f>
        <v>0</v>
      </c>
      <c r="I11" t="s">
        <v>515</v>
      </c>
    </row>
    <row r="13" spans="1:9" x14ac:dyDescent="0.25">
      <c r="A13" s="3" t="s">
        <v>526</v>
      </c>
      <c r="B13" s="4"/>
      <c r="C13" s="4"/>
      <c r="D13" s="4"/>
      <c r="E13" s="4"/>
      <c r="F13" s="4"/>
      <c r="G13" s="4"/>
      <c r="H13" s="4"/>
      <c r="I13" s="4"/>
    </row>
    <row r="14" spans="1:1" x14ac:dyDescent="0.25">
      <c r="A14" t="s">
        <v>527</v>
      </c>
    </row>
    <row r="16" spans="1:9" x14ac:dyDescent="0.25">
      <c r="A16" s="3" t="s">
        <v>528</v>
      </c>
      <c r="B16" s="4"/>
      <c r="C16" s="4"/>
      <c r="D16" s="4"/>
      <c r="E16" s="4"/>
      <c r="F16" s="4"/>
      <c r="G16" s="4"/>
      <c r="H16" s="4"/>
      <c r="I16" s="4"/>
    </row>
    <row r="17" spans="1:3" x14ac:dyDescent="0.25">
      <c r="A17" t="s">
        <v>529</v>
      </c>
      <c r="B17" t="s">
        <v>530</v>
      </c>
      <c r="C17" t="s">
        <v>531</v>
      </c>
    </row>
    <row r="18" spans="1:3" x14ac:dyDescent="0.25">
      <c r="A18" t="s">
        <v>532</v>
      </c>
      <c r="B18" t="s">
        <v>533</v>
      </c>
      <c r="C18" t="s">
        <v>534</v>
      </c>
    </row>
    <row r="19" spans="1:3" x14ac:dyDescent="0.25">
      <c r="A19" t="s">
        <v>529</v>
      </c>
      <c r="B19" t="s">
        <v>535</v>
      </c>
      <c r="C19" t="s">
        <v>536</v>
      </c>
    </row>
    <row r="20" spans="1:3" x14ac:dyDescent="0.25">
      <c r="A20" t="s">
        <v>529</v>
      </c>
      <c r="B20" t="s">
        <v>537</v>
      </c>
      <c r="C20" t="s">
        <v>538</v>
      </c>
    </row>
    <row r="21" spans="1:1" x14ac:dyDescent="0.25">
      <c r="A21" s="2" t="s">
        <v>539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540</v>
      </c>
    </row>
    <row r="2" spans="1:1" x14ac:dyDescent="0.25">
      <c r="A2" s="2" t="s">
        <v>541</v>
      </c>
    </row>
    <row r="4" spans="1:8" x14ac:dyDescent="0.25">
      <c r="A4" s="3" t="s">
        <v>542</v>
      </c>
      <c r="B4" s="4"/>
      <c r="C4" s="4"/>
      <c r="D4" s="4"/>
      <c r="E4" s="4"/>
      <c r="F4" s="4"/>
      <c r="G4" s="4"/>
      <c r="H4" s="4"/>
    </row>
    <row r="5" spans="1:10" x14ac:dyDescent="0.25">
      <c r="A5" s="9" t="s">
        <v>543</v>
      </c>
      <c r="B5" s="10" t="s">
        <v>444</v>
      </c>
      <c r="C5" s="10" t="s">
        <v>356</v>
      </c>
      <c r="D5" s="10" t="s">
        <v>174</v>
      </c>
      <c r="E5" s="10" t="s">
        <v>544</v>
      </c>
      <c r="F5" s="10" t="s">
        <v>8</v>
      </c>
      <c r="G5" s="10" t="s">
        <v>545</v>
      </c>
      <c r="H5" s="10" t="s">
        <v>503</v>
      </c>
      <c r="I5" s="10" t="s">
        <v>546</v>
      </c>
      <c r="J5" s="10" t="s">
        <v>547</v>
      </c>
    </row>
    <row r="6" spans="1:10" x14ac:dyDescent="0.25">
      <c r="A6" t="s">
        <v>548</v>
      </c>
      <c r="B6" t="s">
        <v>452</v>
      </c>
      <c r="C6" s="14">
        <v>407994.8</v>
      </c>
      <c r="D6" t="s">
        <v>549</v>
      </c>
      <c r="E6" t="s">
        <v>292</v>
      </c>
      <c r="F6" t="s">
        <v>550</v>
      </c>
      <c r="G6" t="s">
        <v>551</v>
      </c>
      <c r="H6" t="s">
        <v>552</v>
      </c>
      <c r="I6" t="s">
        <v>24</v>
      </c>
      <c r="J6" t="s">
        <v>24</v>
      </c>
    </row>
    <row r="7" spans="1:10" x14ac:dyDescent="0.25">
      <c r="A7" t="s">
        <v>553</v>
      </c>
      <c r="B7" t="s">
        <v>452</v>
      </c>
      <c r="C7" s="14">
        <v>64062</v>
      </c>
      <c r="D7" t="s">
        <v>549</v>
      </c>
      <c r="E7" t="s">
        <v>292</v>
      </c>
      <c r="F7" t="s">
        <v>550</v>
      </c>
      <c r="G7" t="s">
        <v>551</v>
      </c>
      <c r="H7" t="s">
        <v>552</v>
      </c>
      <c r="I7" t="s">
        <v>24</v>
      </c>
      <c r="J7" t="s">
        <v>24</v>
      </c>
    </row>
    <row r="8" spans="1:10" x14ac:dyDescent="0.25">
      <c r="A8" t="s">
        <v>554</v>
      </c>
      <c r="B8" t="s">
        <v>481</v>
      </c>
      <c r="C8" s="14">
        <v>470915.9</v>
      </c>
      <c r="D8" t="s">
        <v>549</v>
      </c>
      <c r="E8" t="s">
        <v>292</v>
      </c>
      <c r="F8" t="s">
        <v>550</v>
      </c>
      <c r="G8" t="s">
        <v>555</v>
      </c>
      <c r="H8" t="s">
        <v>556</v>
      </c>
      <c r="I8" t="s">
        <v>24</v>
      </c>
      <c r="J8" t="s">
        <v>24</v>
      </c>
    </row>
    <row r="9" spans="1:10" x14ac:dyDescent="0.25">
      <c r="A9" t="s">
        <v>557</v>
      </c>
      <c r="B9" t="s">
        <v>481</v>
      </c>
      <c r="C9" s="14">
        <v>68144.3</v>
      </c>
      <c r="D9" t="s">
        <v>549</v>
      </c>
      <c r="E9" t="s">
        <v>292</v>
      </c>
      <c r="F9" t="s">
        <v>550</v>
      </c>
      <c r="G9" t="s">
        <v>555</v>
      </c>
      <c r="H9" t="s">
        <v>556</v>
      </c>
      <c r="I9" t="s">
        <v>24</v>
      </c>
      <c r="J9" t="s">
        <v>24</v>
      </c>
    </row>
    <row r="10" spans="1:10" x14ac:dyDescent="0.25">
      <c r="A10" t="s">
        <v>558</v>
      </c>
      <c r="B10" t="s">
        <v>489</v>
      </c>
      <c r="C10" s="14">
        <v>495462.9</v>
      </c>
      <c r="D10" t="s">
        <v>549</v>
      </c>
      <c r="E10" t="s">
        <v>292</v>
      </c>
      <c r="F10" t="s">
        <v>550</v>
      </c>
      <c r="G10" t="s">
        <v>559</v>
      </c>
      <c r="H10" t="s">
        <v>560</v>
      </c>
      <c r="I10" t="s">
        <v>24</v>
      </c>
      <c r="J10" t="s">
        <v>24</v>
      </c>
    </row>
    <row r="11" spans="1:10" x14ac:dyDescent="0.25">
      <c r="A11" t="s">
        <v>561</v>
      </c>
      <c r="B11" t="s">
        <v>489</v>
      </c>
      <c r="C11" s="14">
        <v>76026</v>
      </c>
      <c r="D11" t="s">
        <v>549</v>
      </c>
      <c r="E11" t="s">
        <v>292</v>
      </c>
      <c r="F11" t="s">
        <v>550</v>
      </c>
      <c r="G11" t="s">
        <v>559</v>
      </c>
      <c r="H11" t="s">
        <v>560</v>
      </c>
      <c r="I11" t="s">
        <v>24</v>
      </c>
      <c r="J11" t="s">
        <v>24</v>
      </c>
    </row>
    <row r="13" spans="1:8" x14ac:dyDescent="0.25">
      <c r="A13" s="3" t="s">
        <v>562</v>
      </c>
      <c r="B13" s="4"/>
      <c r="C13" s="4"/>
      <c r="D13" s="4"/>
      <c r="E13" s="4"/>
      <c r="F13" s="4"/>
      <c r="G13" s="4"/>
      <c r="H13" s="4"/>
    </row>
    <row r="14" spans="1:7" x14ac:dyDescent="0.25">
      <c r="A14" s="9" t="s">
        <v>355</v>
      </c>
      <c r="B14" s="10" t="s">
        <v>563</v>
      </c>
      <c r="C14" s="10" t="s">
        <v>10</v>
      </c>
      <c r="D14" s="10" t="s">
        <v>564</v>
      </c>
      <c r="E14" s="10" t="s">
        <v>565</v>
      </c>
      <c r="F14" s="10" t="s">
        <v>566</v>
      </c>
      <c r="G14" s="10" t="s">
        <v>359</v>
      </c>
    </row>
    <row r="15" spans="1:7" x14ac:dyDescent="0.25">
      <c r="A15" t="s">
        <v>567</v>
      </c>
      <c r="B15" t="s">
        <v>295</v>
      </c>
      <c r="C15" t="s">
        <v>568</v>
      </c>
      <c r="D15" t="s">
        <v>24</v>
      </c>
      <c r="E15" t="s">
        <v>24</v>
      </c>
      <c r="F15" s="14">
        <v>0</v>
      </c>
      <c r="G15" t="s">
        <v>569</v>
      </c>
    </row>
    <row r="16" spans="1:7" x14ac:dyDescent="0.25">
      <c r="A16" t="s">
        <v>570</v>
      </c>
      <c r="B16" t="s">
        <v>295</v>
      </c>
      <c r="C16" t="s">
        <v>568</v>
      </c>
      <c r="D16" t="s">
        <v>24</v>
      </c>
      <c r="E16" t="s">
        <v>24</v>
      </c>
      <c r="F16" s="14">
        <v>0</v>
      </c>
      <c r="G16" t="s">
        <v>571</v>
      </c>
    </row>
    <row r="17" spans="1:7" x14ac:dyDescent="0.25">
      <c r="A17" t="s">
        <v>572</v>
      </c>
      <c r="B17" t="s">
        <v>295</v>
      </c>
      <c r="C17" t="s">
        <v>568</v>
      </c>
      <c r="D17" t="s">
        <v>24</v>
      </c>
      <c r="E17" t="s">
        <v>24</v>
      </c>
      <c r="F17" s="14">
        <v>0</v>
      </c>
      <c r="G17" t="s">
        <v>573</v>
      </c>
    </row>
    <row r="18" spans="1:7" x14ac:dyDescent="0.25">
      <c r="A18" t="s">
        <v>574</v>
      </c>
      <c r="B18" t="s">
        <v>295</v>
      </c>
      <c r="C18" t="s">
        <v>568</v>
      </c>
      <c r="D18" t="s">
        <v>24</v>
      </c>
      <c r="E18" t="s">
        <v>24</v>
      </c>
      <c r="F18" s="14">
        <v>0</v>
      </c>
      <c r="G18" t="s">
        <v>575</v>
      </c>
    </row>
    <row r="19" spans="1:7" x14ac:dyDescent="0.25">
      <c r="A19" t="s">
        <v>576</v>
      </c>
      <c r="B19" t="s">
        <v>295</v>
      </c>
      <c r="C19" t="s">
        <v>568</v>
      </c>
      <c r="D19" t="s">
        <v>24</v>
      </c>
      <c r="E19" t="s">
        <v>24</v>
      </c>
      <c r="F19" s="14">
        <v>4.656612873077393e-10</v>
      </c>
      <c r="G19" t="s">
        <v>577</v>
      </c>
    </row>
    <row r="20" spans="1:7" x14ac:dyDescent="0.25">
      <c r="A20" t="s">
        <v>578</v>
      </c>
      <c r="B20" t="s">
        <v>295</v>
      </c>
      <c r="C20" t="s">
        <v>568</v>
      </c>
      <c r="D20" t="s">
        <v>24</v>
      </c>
      <c r="E20" t="s">
        <v>24</v>
      </c>
      <c r="F20" s="14">
        <v>0</v>
      </c>
      <c r="G20" t="s">
        <v>579</v>
      </c>
    </row>
    <row r="21" spans="1:7" x14ac:dyDescent="0.25">
      <c r="A21" t="s">
        <v>580</v>
      </c>
      <c r="B21" t="s">
        <v>295</v>
      </c>
      <c r="C21" t="s">
        <v>568</v>
      </c>
      <c r="D21" t="s">
        <v>24</v>
      </c>
      <c r="E21" t="s">
        <v>24</v>
      </c>
      <c r="F21" s="14">
        <v>0</v>
      </c>
      <c r="G21" t="s">
        <v>581</v>
      </c>
    </row>
    <row r="22" spans="1:7" x14ac:dyDescent="0.25">
      <c r="A22" t="s">
        <v>582</v>
      </c>
      <c r="B22" t="s">
        <v>295</v>
      </c>
      <c r="C22" t="s">
        <v>568</v>
      </c>
      <c r="D22" t="s">
        <v>24</v>
      </c>
      <c r="E22" t="s">
        <v>24</v>
      </c>
      <c r="F22" s="14">
        <v>0</v>
      </c>
      <c r="G22" t="s">
        <v>583</v>
      </c>
    </row>
    <row r="23" spans="1:7" x14ac:dyDescent="0.25">
      <c r="A23" t="s">
        <v>584</v>
      </c>
      <c r="B23" t="s">
        <v>295</v>
      </c>
      <c r="C23" t="s">
        <v>568</v>
      </c>
      <c r="D23" t="s">
        <v>24</v>
      </c>
      <c r="E23" t="s">
        <v>24</v>
      </c>
      <c r="F23" s="14">
        <v>0</v>
      </c>
      <c r="G23" t="s">
        <v>585</v>
      </c>
    </row>
    <row r="24" spans="1:7" x14ac:dyDescent="0.25">
      <c r="A24" t="s">
        <v>586</v>
      </c>
      <c r="B24" t="s">
        <v>295</v>
      </c>
      <c r="C24" t="s">
        <v>568</v>
      </c>
      <c r="D24" t="s">
        <v>24</v>
      </c>
      <c r="E24" t="s">
        <v>24</v>
      </c>
      <c r="F24" s="14">
        <v>0</v>
      </c>
      <c r="G24" t="s">
        <v>587</v>
      </c>
    </row>
    <row r="25" spans="1:7" x14ac:dyDescent="0.25">
      <c r="A25" t="s">
        <v>588</v>
      </c>
      <c r="B25" t="s">
        <v>295</v>
      </c>
      <c r="C25" t="s">
        <v>568</v>
      </c>
      <c r="D25" t="s">
        <v>24</v>
      </c>
      <c r="E25" t="s">
        <v>24</v>
      </c>
      <c r="F25" s="14">
        <v>0</v>
      </c>
      <c r="G25" t="s">
        <v>589</v>
      </c>
    </row>
    <row r="26" spans="1:7" x14ac:dyDescent="0.25">
      <c r="A26" t="s">
        <v>590</v>
      </c>
      <c r="B26" t="s">
        <v>591</v>
      </c>
      <c r="C26" t="s">
        <v>568</v>
      </c>
      <c r="D26" t="s">
        <v>24</v>
      </c>
      <c r="E26" t="s">
        <v>24</v>
      </c>
      <c r="F26" t="s">
        <v>24</v>
      </c>
      <c r="G26" t="s">
        <v>592</v>
      </c>
    </row>
    <row r="27" spans="1:7" x14ac:dyDescent="0.25">
      <c r="A27" t="s">
        <v>593</v>
      </c>
      <c r="B27" t="s">
        <v>594</v>
      </c>
      <c r="C27" t="s">
        <v>568</v>
      </c>
      <c r="D27" t="s">
        <v>24</v>
      </c>
      <c r="E27" t="s">
        <v>24</v>
      </c>
      <c r="F27" t="s">
        <v>24</v>
      </c>
      <c r="G27" t="s">
        <v>595</v>
      </c>
    </row>
    <row r="28" spans="1:7" x14ac:dyDescent="0.25">
      <c r="A28" t="s">
        <v>596</v>
      </c>
      <c r="B28" t="s">
        <v>597</v>
      </c>
      <c r="C28" t="s">
        <v>568</v>
      </c>
      <c r="D28" t="s">
        <v>24</v>
      </c>
      <c r="E28" t="s">
        <v>24</v>
      </c>
      <c r="F28" t="s">
        <v>24</v>
      </c>
      <c r="G28" t="s">
        <v>598</v>
      </c>
    </row>
    <row r="30" spans="1:8" x14ac:dyDescent="0.25">
      <c r="A30" s="3" t="s">
        <v>599</v>
      </c>
      <c r="B30" s="4"/>
      <c r="C30" s="4"/>
      <c r="D30" s="4"/>
      <c r="E30" s="4"/>
      <c r="F30" s="4"/>
      <c r="G30" s="4"/>
      <c r="H30" s="4"/>
    </row>
    <row r="31" spans="1:5" x14ac:dyDescent="0.25">
      <c r="A31" s="9" t="s">
        <v>600</v>
      </c>
      <c r="B31" s="10" t="s">
        <v>563</v>
      </c>
      <c r="C31" s="10" t="s">
        <v>601</v>
      </c>
      <c r="D31" s="10" t="s">
        <v>602</v>
      </c>
      <c r="E31" s="10" t="s">
        <v>603</v>
      </c>
    </row>
    <row r="32" spans="1:5" x14ac:dyDescent="0.25">
      <c r="A32" t="s">
        <v>604</v>
      </c>
      <c r="B32" t="s">
        <v>605</v>
      </c>
      <c r="C32" t="s">
        <v>606</v>
      </c>
      <c r="D32" t="s">
        <v>247</v>
      </c>
      <c r="E32" t="s">
        <v>607</v>
      </c>
    </row>
    <row r="34" spans="1:8" x14ac:dyDescent="0.25">
      <c r="A34" s="3" t="s">
        <v>608</v>
      </c>
      <c r="B34" s="4"/>
      <c r="C34" s="4"/>
      <c r="D34" s="4"/>
      <c r="E34" s="4"/>
      <c r="F34" s="4"/>
      <c r="G34" s="4"/>
      <c r="H34" s="4"/>
    </row>
    <row r="35" spans="1:2" x14ac:dyDescent="0.25">
      <c r="A35" s="5" t="s">
        <v>609</v>
      </c>
      <c r="B35" t="s">
        <v>610</v>
      </c>
    </row>
    <row r="36" spans="1:2" x14ac:dyDescent="0.25">
      <c r="A36" s="5" t="s">
        <v>54</v>
      </c>
      <c r="B36" t="s">
        <v>55</v>
      </c>
    </row>
    <row r="37" spans="1:2" x14ac:dyDescent="0.25">
      <c r="A37" s="5" t="s">
        <v>73</v>
      </c>
      <c r="B37" t="s">
        <v>74</v>
      </c>
    </row>
    <row r="38" spans="1:2" x14ac:dyDescent="0.25">
      <c r="A38" s="5" t="s">
        <v>6</v>
      </c>
      <c r="B38" t="s">
        <v>72</v>
      </c>
    </row>
    <row r="39" spans="1:2" x14ac:dyDescent="0.25">
      <c r="A39" s="5" t="s">
        <v>611</v>
      </c>
      <c r="B39" t="s">
        <v>612</v>
      </c>
    </row>
    <row r="40" spans="1:2" x14ac:dyDescent="0.25">
      <c r="A40" s="5" t="s">
        <v>8</v>
      </c>
      <c r="B40" t="s">
        <v>9</v>
      </c>
    </row>
    <row r="41" spans="1:2" x14ac:dyDescent="0.25">
      <c r="A41" s="5" t="s">
        <v>613</v>
      </c>
      <c r="B41" t="s">
        <v>230</v>
      </c>
    </row>
    <row r="42" spans="1:3" x14ac:dyDescent="0.25">
      <c r="A42" s="5" t="s">
        <v>614</v>
      </c>
      <c r="B42" t="s">
        <v>237</v>
      </c>
      <c r="C42" t="s">
        <v>239</v>
      </c>
    </row>
    <row r="43" spans="1:3" x14ac:dyDescent="0.25">
      <c r="A43" s="5" t="s">
        <v>614</v>
      </c>
      <c r="B43" t="s">
        <v>240</v>
      </c>
      <c r="C43" t="s">
        <v>241</v>
      </c>
    </row>
    <row r="44" spans="1:3" x14ac:dyDescent="0.25">
      <c r="A44" s="5" t="s">
        <v>614</v>
      </c>
      <c r="B44" t="s">
        <v>242</v>
      </c>
      <c r="C44" t="s">
        <v>243</v>
      </c>
    </row>
    <row r="46" spans="1:8" x14ac:dyDescent="0.25">
      <c r="A46" s="3" t="s">
        <v>615</v>
      </c>
      <c r="B46" s="4"/>
      <c r="C46" s="4"/>
      <c r="D46" s="4"/>
      <c r="E46" s="4"/>
      <c r="F46" s="4"/>
      <c r="G46" s="4"/>
      <c r="H46" s="4"/>
    </row>
    <row r="47" spans="1:1" x14ac:dyDescent="0.25">
      <c r="A47" s="2" t="s">
        <v>616</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48" customWidth="1"/>
    <col min="2" max="7" width="16" customWidth="1"/>
  </cols>
  <sheetData>
    <row r="1" spans="1:1" x14ac:dyDescent="0.25">
      <c r="A1" s="1" t="s">
        <v>617</v>
      </c>
    </row>
    <row r="2" spans="1:1" x14ac:dyDescent="0.25">
      <c r="A2" s="2" t="s">
        <v>618</v>
      </c>
    </row>
    <row r="4" spans="1:6" x14ac:dyDescent="0.25">
      <c r="A4" s="3" t="s">
        <v>619</v>
      </c>
      <c r="B4" s="4"/>
      <c r="C4" s="4"/>
      <c r="D4" s="4"/>
      <c r="E4" s="4"/>
      <c r="F4" s="4"/>
    </row>
    <row r="5" spans="1:1" x14ac:dyDescent="0.25">
      <c r="A5" s="2" t="s">
        <v>620</v>
      </c>
    </row>
    <row r="7" spans="1:6" x14ac:dyDescent="0.25">
      <c r="A7" s="3" t="s">
        <v>621</v>
      </c>
      <c r="B7" s="4"/>
      <c r="C7" s="4"/>
      <c r="D7" s="4"/>
      <c r="E7" s="4"/>
      <c r="F7" s="4"/>
    </row>
    <row r="8" spans="1:6" x14ac:dyDescent="0.25">
      <c r="A8" s="9" t="s">
        <v>211</v>
      </c>
      <c r="B8" s="10" t="s">
        <v>216</v>
      </c>
      <c r="C8" s="10" t="s">
        <v>217</v>
      </c>
      <c r="D8" s="10" t="s">
        <v>218</v>
      </c>
      <c r="E8" s="10" t="s">
        <v>219</v>
      </c>
      <c r="F8" s="10" t="s">
        <v>220</v>
      </c>
    </row>
    <row r="9" spans="1:6" x14ac:dyDescent="0.25">
      <c r="A9" t="s">
        <v>221</v>
      </c>
      <c r="B9" s="14">
        <v>362.68</v>
      </c>
      <c r="C9" s="14">
        <v>420.32</v>
      </c>
      <c r="D9" s="14">
        <v>496.3</v>
      </c>
      <c r="E9" s="17">
        <v>100</v>
      </c>
      <c r="F9" t="s">
        <v>222</v>
      </c>
    </row>
    <row r="10" spans="1:6" x14ac:dyDescent="0.25">
      <c r="A10" t="s">
        <v>223</v>
      </c>
      <c r="B10" s="14">
        <v>357.81</v>
      </c>
      <c r="C10" s="14">
        <v>405.84</v>
      </c>
      <c r="D10" s="14">
        <v>468.76</v>
      </c>
      <c r="E10" s="17">
        <v>0</v>
      </c>
      <c r="F10" t="s">
        <v>224</v>
      </c>
    </row>
    <row r="11" spans="1:6" x14ac:dyDescent="0.25">
      <c r="A11" t="s">
        <v>225</v>
      </c>
      <c r="B11" s="14">
        <v>347.05</v>
      </c>
      <c r="C11" s="14">
        <v>403.99</v>
      </c>
      <c r="D11" s="14">
        <v>479.22</v>
      </c>
      <c r="E11" s="17">
        <v>0</v>
      </c>
      <c r="F11" t="s">
        <v>224</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2026-11-01T14:57:59Z</dcterms:created>
  <dcterms:modified xsi:type="dcterms:W3CDTF">2026-11-01T14:57:59Z</dcterms:modified>
</cp:coreProperties>
</file>